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fbken\Downloads\Mixing_patterns_Sub_Saharan_Africa\InputData\"/>
    </mc:Choice>
  </mc:AlternateContent>
  <xr:revisionPtr revIDLastSave="0" documentId="13_ncr:1_{55F2E2D8-28A7-4978-AD4D-B183DA7EADA7}" xr6:coauthVersionLast="47" xr6:coauthVersionMax="47" xr10:uidLastSave="{00000000-0000-0000-0000-000000000000}"/>
  <bookViews>
    <workbookView xWindow="-120" yWindow="-120" windowWidth="20730" windowHeight="11040" xr2:uid="{E1E6E373-E7D0-4A1D-8920-15B7B6499FB6}"/>
  </bookViews>
  <sheets>
    <sheet name="Sheet1" sheetId="1" r:id="rId1"/>
    <sheet name="Sheet2" sheetId="2" r:id="rId2"/>
  </sheets>
  <definedNames>
    <definedName name="_xlnm._FilterDatabase" localSheetId="0" hidden="1">Sheet1!$A$1:$AY$42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42" i="1" l="1"/>
  <c r="AT40" i="1"/>
  <c r="AT39" i="1"/>
  <c r="AT38" i="1"/>
  <c r="AT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tc={0D4439C3-8659-4C2D-9FEC-06E3343E059D}</author>
    <author>tc={81F5A8DF-5AE6-48A4-A091-0832FC5F74D7}</author>
    <author>tc={FE9F8385-7161-4D58-8079-06631BD625DE}</author>
    <author>tc={D65147B3-3736-469D-9D54-12234C1E3B64}</author>
    <author>tc={30EA34FF-9938-4905-B9EB-9BBAADA909EA}</author>
    <author>tc={19321F97-1FC8-480E-8B9C-1F17BF96CDCC}</author>
    <author>tc={72D6F878-084A-4C9C-BF54-461A980BC004}</author>
    <author>tc={2CAF75BC-71BD-4A2E-BD1F-D0BE89A66007}</author>
    <author>tc={EF7520A7-EA9D-4D2F-AA13-6AF0FC33C4EA}</author>
    <author>tc={DF43E4B6-693C-46EB-8CBD-E70F6BB72B3C}</author>
    <author>tc={47393A40-7A15-4E59-9274-1232CF16F564}</author>
    <author>tc={FB9A0981-4BBF-4352-B636-BEC38B8115F3}</author>
    <author>tc={E4D340FF-F1E0-4218-BA39-2B2D8E85803C}</author>
    <author>tc={1A2CB69C-6ECB-4452-A004-85617013910F}</author>
    <author>tc={51290534-1677-4C2A-B8E5-F7582EA72C23}</author>
    <author>tc={AED613C8-D11F-4C29-ABC3-8E5BD1B2F0BF}</author>
    <author>tc={E4F6C7F8-5672-4691-BFD6-3895A3997FF2}</author>
    <author>tc={4F804378-56E9-4DB1-ABC3-8BD59D685348}</author>
    <author>tc={25898081-F803-4849-BCDC-BC2A4A23AEA3}</author>
  </authors>
  <commentList>
    <comment ref="Q2" authorId="0" shapeId="0" xr:uid="{0D4439C3-8659-4C2D-9FEC-06E3343E059D}">
      <text>
        <t xml:space="preserve">[Threaded comment]
Your version of Excel allows you to read this threaded comment; however, any edits to it will get removed if the file is opened in a newer version of Excel. Learn more: https://go.microsoft.com/fwlink/?linkid=870924
Comment:
    Used the PHIRST cohort’s power calculation (for respiratory infection attack rates, not contact patterns). </t>
      </text>
    </comment>
    <comment ref="AT2" authorId="1" shapeId="0" xr:uid="{81F5A8DF-5AE6-48A4-A091-0832FC5F74D7}">
      <text>
        <t xml:space="preserve">[Threaded comment]
Your version of Excel allows you to read this threaded comment; however, any edits to it will get removed if the file is opened in a newer version of Excel. Learn more: https://go.microsoft.com/fwlink/?linkid=870924
Comment:
    FOR PHIRST </t>
      </text>
    </comment>
    <comment ref="AQ19" authorId="2" shapeId="0" xr:uid="{FE9F8385-7161-4D58-8079-06631BD625DE}">
      <text>
        <t>[Threaded comment]
Your version of Excel allows you to read this threaded comment; however, any edits to it will get removed if the file is opened in a newer version of Excel. Learn more: https://go.microsoft.com/fwlink/?linkid=870924
Comment:
    Collected only conversational contact</t>
      </text>
    </comment>
    <comment ref="AQ20" authorId="3" shapeId="0" xr:uid="{D65147B3-3736-469D-9D54-12234C1E3B64}">
      <text>
        <t>[Threaded comment]
Your version of Excel allows you to read this threaded comment; however, any edits to it will get removed if the file is opened in a newer version of Excel. Learn more: https://go.microsoft.com/fwlink/?linkid=870924
Comment:
    Collected only conversational contact</t>
      </text>
    </comment>
    <comment ref="AT21" authorId="4" shapeId="0" xr:uid="{30EA34FF-9938-4905-B9EB-9BBAADA909EA}">
      <text>
        <t>[Threaded comment]
Your version of Excel allows you to read this threaded comment; however, any edits to it will get removed if the file is opened in a newer version of Excel. Learn more: https://go.microsoft.com/fwlink/?linkid=870924
Comment:
    (343+233)/641</t>
      </text>
    </comment>
    <comment ref="AT22" authorId="5" shapeId="0" xr:uid="{19321F97-1FC8-480E-8B9C-1F17BF96CDCC}">
      <text>
        <t>[Threaded comment]
Your version of Excel allows you to read this threaded comment; however, any edits to it will get removed if the file is opened in a newer version of Excel. Learn more: https://go.microsoft.com/fwlink/?linkid=870924
Comment:
    699/738</t>
      </text>
    </comment>
    <comment ref="AQ23" authorId="6" shapeId="0" xr:uid="{72D6F878-084A-4C9C-BF54-461A980BC004}">
      <text>
        <t>[Threaded comment]
Your version of Excel allows you to read this threaded comment; however, any edits to it will get removed if the file is opened in a newer version of Excel. Learn more: https://go.microsoft.com/fwlink/?linkid=870924
Comment:
    All contacts are physical</t>
      </text>
    </comment>
    <comment ref="AC24" authorId="7" shapeId="0" xr:uid="{2CAF75BC-71BD-4A2E-BD1F-D0BE89A66007}">
      <text>
        <t>[Threaded comment]
Your version of Excel allows you to read this threaded comment; however, any edits to it will get removed if the file is opened in a newer version of Excel. Learn more: https://go.microsoft.com/fwlink/?linkid=870924
Comment:
    Rural only</t>
      </text>
    </comment>
    <comment ref="Q27" authorId="8" shapeId="0" xr:uid="{EF7520A7-EA9D-4D2F-AA13-6AF0FC33C4EA}">
      <text>
        <t xml:space="preserve">[Threaded comment]
Your version of Excel allows you to read this threaded comment; however, any edits to it will get removed if the file is opened in a newer version of Excel. Learn more: https://go.microsoft.com/fwlink/?linkid=870924
Comment:
    Also relied on the PHIRST cohort’s power calculation (for influenza/RSV infection risk, not contact patterns). </t>
      </text>
    </comment>
    <comment ref="Q28" authorId="9" shapeId="0" xr:uid="{DF43E4B6-693C-46EB-8CBD-E70F6BB72B3C}">
      <text>
        <t xml:space="preserve">[Threaded comment]
Your version of Excel allows you to read this threaded comment; however, any edits to it will get removed if the file is opened in a newer version of Excel. Learn more: https://go.microsoft.com/fwlink/?linkid=870924
Comment:
    Also relied on the PHIRST cohort’s power calculation (for influenza/RSV infection risk, not contact patterns). </t>
      </text>
    </comment>
    <comment ref="AT30" authorId="10" shapeId="0" xr:uid="{47393A40-7A15-4E59-9274-1232CF16F564}">
      <text>
        <t>[Threaded comment]
Your version of Excel allows you to read this threaded comment; however, any edits to it will get removed if the file is opened in a newer version of Excel. Learn more: https://go.microsoft.com/fwlink/?linkid=870924
Comment:
    699/738 (See Johnstone-Roberson et al. (2011)</t>
      </text>
    </comment>
    <comment ref="AC37" authorId="11" shapeId="0" xr:uid="{FB9A0981-4BBF-4352-B636-BEC38B8115F3}">
      <text>
        <t>[Threaded comment]
Your version of Excel allows you to read this threaded comment; however, any edits to it will get removed if the file is opened in a newer version of Excel. Learn more: https://go.microsoft.com/fwlink/?linkid=870924
Comment:
    Only rural areas were concerned by the study</t>
      </text>
    </comment>
    <comment ref="AS37" authorId="12" shapeId="0" xr:uid="{E4D340FF-F1E0-4218-BA39-2B2D8E85803C}">
      <text>
        <t>[Threaded comment]
Your version of Excel allows you to read this threaded comment; however, any edits to it will get removed if the file is opened in a newer version of Excel. Learn more: https://go.microsoft.com/fwlink/?linkid=870924
Comment:
    Som schools open on saturday</t>
      </text>
    </comment>
    <comment ref="AC38" authorId="13" shapeId="0" xr:uid="{1A2CB69C-6ECB-4452-A004-85617013910F}">
      <text>
        <t>[Threaded comment]
Your version of Excel allows you to read this threaded comment; however, any edits to it will get removed if the file is opened in a newer version of Excel. Learn more: https://go.microsoft.com/fwlink/?linkid=870924
Comment:
    Only rural areas were involved in the study</t>
      </text>
    </comment>
    <comment ref="AX39" authorId="14" shapeId="0" xr:uid="{51290534-1677-4C2A-B8E5-F7582EA72C23}">
      <text>
        <t>[Threaded comment]
Your version of Excel allows you to read this threaded comment; however, any edits to it will get removed if the file is opened in a newer version of Excel. Learn more: https://go.microsoft.com/fwlink/?linkid=870924
Comment:
    The publicly available database is incomplete and cannot be used.</t>
      </text>
    </comment>
    <comment ref="AC40" authorId="15" shapeId="0" xr:uid="{AED613C8-D11F-4C29-ABC3-8E5BD1B2F0BF}">
      <text>
        <t>[Threaded comment]
Your version of Excel allows you to read this threaded comment; however, any edits to it will get removed if the file is opened in a newer version of Excel. Learn more: https://go.microsoft.com/fwlink/?linkid=870924
Comment:
    Only urban areas involved in the study</t>
      </text>
    </comment>
    <comment ref="AC41" authorId="16" shapeId="0" xr:uid="{E4F6C7F8-5672-4691-BFD6-3895A3997FF2}">
      <text>
        <t>[Threaded comment]
Your version of Excel allows you to read this threaded comment; however, any edits to it will get removed if the file is opened in a newer version of Excel. Learn more: https://go.microsoft.com/fwlink/?linkid=870924
Comment:
    Only urban areas were involved in the study.</t>
      </text>
    </comment>
    <comment ref="AX41" authorId="17" shapeId="0" xr:uid="{4F804378-56E9-4DB1-ABC3-8BD59D685348}">
      <text>
        <t>[Threaded comment]
Your version of Excel allows you to read this threaded comment; however, any edits to it will get removed if the file is opened in a newer version of Excel. Learn more: https://go.microsoft.com/fwlink/?linkid=870924
Comment:
    The publicly available database is incomplete and cannot be used.</t>
      </text>
    </comment>
    <comment ref="AC42" authorId="18" shapeId="0" xr:uid="{25898081-F803-4849-BCDC-BC2A4A23AEA3}">
      <text>
        <t>[Threaded comment]
Your version of Excel allows you to read this threaded comment; however, any edits to it will get removed if the file is opened in a newer version of Excel. Learn more: https://go.microsoft.com/fwlink/?linkid=870924
Comment:
    Only urban areas were involved in the study.</t>
      </text>
    </comment>
  </commentList>
</comments>
</file>

<file path=xl/sharedStrings.xml><?xml version="1.0" encoding="utf-8"?>
<sst xmlns="http://schemas.openxmlformats.org/spreadsheetml/2006/main" count="2055" uniqueCount="288">
  <si>
    <t>Author, Year</t>
  </si>
  <si>
    <t>Country, Area/District</t>
  </si>
  <si>
    <t>Income status</t>
  </si>
  <si>
    <t>Contact definition</t>
  </si>
  <si>
    <t>Data type</t>
  </si>
  <si>
    <t>Cameroon</t>
  </si>
  <si>
    <t>LMIC</t>
  </si>
  <si>
    <t>Telephone interview</t>
  </si>
  <si>
    <t>Retrospective recall</t>
  </si>
  <si>
    <t>Previous 24 hours</t>
  </si>
  <si>
    <t>NA</t>
  </si>
  <si>
    <t>Exchange of words or touch at proximity not requiring voice raised.</t>
  </si>
  <si>
    <t>Democratic Republic of Congo</t>
  </si>
  <si>
    <t>LIC</t>
  </si>
  <si>
    <t>Ethiopia</t>
  </si>
  <si>
    <t>Gambia</t>
  </si>
  <si>
    <t>Diary-based</t>
  </si>
  <si>
    <t>Passive direct observation</t>
  </si>
  <si>
    <t>Skin-to-skin touch or verbal exchange within two-metre distance</t>
  </si>
  <si>
    <t>Contact-level</t>
  </si>
  <si>
    <t>Gambia, Central River Region and Upper River Region</t>
  </si>
  <si>
    <t>Face-to-face interview</t>
  </si>
  <si>
    <t>Prospective one-day with mental note</t>
  </si>
  <si>
    <t>Ghana</t>
  </si>
  <si>
    <t>Guinea</t>
  </si>
  <si>
    <t>Ivory Coast</t>
  </si>
  <si>
    <t>Kenya, Southern Coast</t>
  </si>
  <si>
    <t>Prospective two-day with diary or no</t>
  </si>
  <si>
    <t>Randomly pre-assigned 2 days</t>
  </si>
  <si>
    <t>Skin-to-skin touch or face-to-face conversation with ≥3 words</t>
  </si>
  <si>
    <t>Kenya</t>
  </si>
  <si>
    <t>Kenya, Kilifi KHDSS</t>
  </si>
  <si>
    <t>Prospective one-day with diary</t>
  </si>
  <si>
    <t>Pre-assigned 24 hours</t>
  </si>
  <si>
    <t>Direct skin-to-skin physical encounter (e.g., handshake, embrace).</t>
  </si>
  <si>
    <t>Kenya, Matsangoni</t>
  </si>
  <si>
    <t>Wearable proximity sensors (Tag)</t>
  </si>
  <si>
    <t>Prospective four-day with Tag</t>
  </si>
  <si>
    <t>Pre-assigned 4 days</t>
  </si>
  <si>
    <t>Kenya, Nairobi</t>
  </si>
  <si>
    <t>Liberia</t>
  </si>
  <si>
    <t>Malawi, Rural Northern</t>
  </si>
  <si>
    <t>Face-to-face conversation or Skin-to-skin touch, excluding brief greetings.</t>
  </si>
  <si>
    <t>Malawi, Blantyre</t>
  </si>
  <si>
    <t>Skin-to-skin touch or Two-way conversation lasting for ≥5 min and with ≥3 words</t>
  </si>
  <si>
    <t>Mozambique</t>
  </si>
  <si>
    <t>Mozambique, Rural Manhica</t>
  </si>
  <si>
    <t>Prospective two-day with diary</t>
  </si>
  <si>
    <t>Two-way face-to-face encounter with touch or talk within arm’s reach where there is no physical barrier.</t>
  </si>
  <si>
    <t>Nigeria</t>
  </si>
  <si>
    <t>Senegal</t>
  </si>
  <si>
    <t>At least a short conversation in close proximity (direct contact)</t>
  </si>
  <si>
    <t>South Africa, Urban Klerksdorp, Rural Agincourt</t>
  </si>
  <si>
    <t>UMIC</t>
  </si>
  <si>
    <t>Prospective ten to 14-day with Tag</t>
  </si>
  <si>
    <t>Pre-assigned 10 to 14 days</t>
  </si>
  <si>
    <t>South Africa</t>
  </si>
  <si>
    <t>South Africa, Western Cape</t>
  </si>
  <si>
    <t>Face-to-face conversation that was longer than a greeting and within an arm's reach.</t>
  </si>
  <si>
    <t>South Africa, Urban Township</t>
  </si>
  <si>
    <t>South Africa, Rural Bush Buckridge Municipality</t>
  </si>
  <si>
    <t>Skin-to-skin touch or face-to-face conversation with ≥3 words at proximity not requiring voice raised (&lt;2m).</t>
  </si>
  <si>
    <t>South Africa, Peri-urban Township CapeTown</t>
  </si>
  <si>
    <t>Random 24-hour in past week</t>
  </si>
  <si>
    <t xml:space="preserve">South Africa, KwaZulu-Natal Province </t>
  </si>
  <si>
    <t>Face-to-face conversation</t>
  </si>
  <si>
    <t>Uganda, Southwest Uganda, Sheema</t>
  </si>
  <si>
    <t>Two-way conversational encounters lasting for ≥5 min</t>
  </si>
  <si>
    <t>Uganda</t>
  </si>
  <si>
    <t>Zambia</t>
  </si>
  <si>
    <t>Zambia, multiple locations</t>
  </si>
  <si>
    <t>Zimbabwe</t>
  </si>
  <si>
    <t>Zimbabwe, Manicaland</t>
  </si>
  <si>
    <t>Diary-based Face-to-face Interview</t>
  </si>
  <si>
    <t>Mozambique, Urban Polana-Canico</t>
  </si>
  <si>
    <t>South Africa, Urban Matlosana Municipality</t>
  </si>
  <si>
    <t>South Africa, Multiple locations: 2019 Survey</t>
  </si>
  <si>
    <t>South Africa, Multiple locations: 2020 Round 1 Survey</t>
  </si>
  <si>
    <t>South Africa, Multiple locations: 2020 Round 2 Survey</t>
  </si>
  <si>
    <t>South Africa, Western Cape Province</t>
  </si>
  <si>
    <t>Country</t>
  </si>
  <si>
    <t>Malawi</t>
  </si>
  <si>
    <t>Study</t>
  </si>
  <si>
    <t>Cameroon_Dobreva_2022</t>
  </si>
  <si>
    <t>Ethiopia_Dobreva_2022</t>
  </si>
  <si>
    <t>Gambia_Osei_2024</t>
  </si>
  <si>
    <t>Ghana_Dobreva_2022</t>
  </si>
  <si>
    <t>Guinea_Dobreva_2022</t>
  </si>
  <si>
    <t>Kenya_Dobreva_2022</t>
  </si>
  <si>
    <t>Liberia_Dobreva_2022</t>
  </si>
  <si>
    <t>Mozambique_Dobreva_2022</t>
  </si>
  <si>
    <t>Nigeria_Dobreva_2022</t>
  </si>
  <si>
    <t>DR_Congo_Dobreva_2022</t>
  </si>
  <si>
    <t>Gambia_Osei_2025</t>
  </si>
  <si>
    <t>Kenya_Kiti_2014</t>
  </si>
  <si>
    <t>Kenya_Kiti_2016</t>
  </si>
  <si>
    <t>Kenya_Quaife_2020</t>
  </si>
  <si>
    <t>Malawi_Glynn_2020</t>
  </si>
  <si>
    <t>Malawi_Thindwa_2022</t>
  </si>
  <si>
    <t>Mozambique_Kiti_2025</t>
  </si>
  <si>
    <t>I_Coast__Dobreva_2022</t>
  </si>
  <si>
    <t>Kenya_Del_Fava_2021</t>
  </si>
  <si>
    <t>Senegal_Dobreva_2022</t>
  </si>
  <si>
    <t>Somalia_van_Zandvoort_2022</t>
  </si>
  <si>
    <t>Uganda_Dobreva_2022</t>
  </si>
  <si>
    <t>Zambia_Dobreva_2022</t>
  </si>
  <si>
    <t>Zambia_Dodd_2016</t>
  </si>
  <si>
    <t>Zimbabwe_Dobreva_2022</t>
  </si>
  <si>
    <t>Zimbabwe_Melegaro_2017</t>
  </si>
  <si>
    <t>S_Africa_Kleynhans_2021</t>
  </si>
  <si>
    <t>S_Africa_Johnstone_2011</t>
  </si>
  <si>
    <t>S_Africa_Dodd_2016</t>
  </si>
  <si>
    <t>S_Africa_Dobreva_2022</t>
  </si>
  <si>
    <t>S_Africa_DallAmico_2024</t>
  </si>
  <si>
    <t>S_Africa_McCreesh_2019</t>
  </si>
  <si>
    <t>S_Africa_McCreesh_2021</t>
  </si>
  <si>
    <t>S_Africa_McCreesh_2022</t>
  </si>
  <si>
    <t>Uganda_de_Waroux_2018</t>
  </si>
  <si>
    <t>Subregion</t>
  </si>
  <si>
    <t>CA</t>
  </si>
  <si>
    <t>EA</t>
  </si>
  <si>
    <t>WA</t>
  </si>
  <si>
    <t>SA</t>
  </si>
  <si>
    <t>No Diary or Diary-based Face-to-face interview</t>
  </si>
  <si>
    <t>Dataset link</t>
  </si>
  <si>
    <t>https://zenodo.org/records/14064156</t>
  </si>
  <si>
    <t>https://zenodo.org/records/11428980</t>
  </si>
  <si>
    <t xml:space="preserve">Contact-level </t>
  </si>
  <si>
    <t>https://osf.io/ebwrh/?view_only=19d34326583e47a19510668c6e1c17e5</t>
  </si>
  <si>
    <t>Malawi_Ozella_2021</t>
  </si>
  <si>
    <t>http://www.sociopatterns.org/datasets/contact-patterns-in-a-village-in-rural-malawi/</t>
  </si>
  <si>
    <t>http://www.sociopatterns.org/datasets/kenyan-households-contact-network/</t>
  </si>
  <si>
    <t>Tag-based contact within 1.5 m enabling talk or touch for at least 20 sec.</t>
  </si>
  <si>
    <t>Malawi, Mdoliro village</t>
  </si>
  <si>
    <t>https://github.com/mquaife/kenya_mixing</t>
  </si>
  <si>
    <t>https://meirumalawi-my.sharepoint.com/:f:/g/personal/paul_kambiya_meiru_mw/EmYA4vpDjDdFtDjt8-pdk_MB4SvoHw_N7e3Jmyfafw14dg?e=dRnsNl</t>
  </si>
  <si>
    <t>https://github.com/deusthindwa/social.contact.rates.estimation.hiv.malawi</t>
  </si>
  <si>
    <t>https://github.com/lopmanlab/globalmix-mozambique-aim1</t>
  </si>
  <si>
    <t>https://zenodo.org/records/7071876
https://github.com/kevinvzandvoort/espicc-somaliland-digaale-survey-2019</t>
  </si>
  <si>
    <t>https://static-content.springer.com/esm/art%3A10.1186%2Fs12889-021-11136-6/MediaObjects/12889_2021_11136_MOESM5_ESM.csv</t>
  </si>
  <si>
    <t>Participant-level</t>
  </si>
  <si>
    <t>https://data.ahri.org/index.php/catalog/1018</t>
  </si>
  <si>
    <t>https://datacompass.lshtm.ac.uk/id/eprint/2756/
https://github.com/NickyMcC/CasualAgeMixing</t>
  </si>
  <si>
    <t>https://zenodo.org/records/3886638
https://github.com/mrc-ide/contact_patterns
https://journals.plos.org/plosone/article/file?type=supplementary&amp;id=10.1371/journal.pone.0170459.s001</t>
  </si>
  <si>
    <t>Reduced contact definition</t>
  </si>
  <si>
    <t>Conversational or physical</t>
  </si>
  <si>
    <t>Conversational</t>
  </si>
  <si>
    <t>Physical</t>
  </si>
  <si>
    <t>Data Collection Method</t>
  </si>
  <si>
    <t>Reduced Data Collection Method</t>
  </si>
  <si>
    <t>Memory-based</t>
  </si>
  <si>
    <t>Tag-based</t>
  </si>
  <si>
    <t>Contact Count Method</t>
  </si>
  <si>
    <t>Reference period Method</t>
  </si>
  <si>
    <t>Informed in advance?</t>
  </si>
  <si>
    <t>Yes</t>
  </si>
  <si>
    <t>No</t>
  </si>
  <si>
    <t>Extracted Matrices (N)</t>
  </si>
  <si>
    <t>Informed/Trained in advance?</t>
  </si>
  <si>
    <t>Study period</t>
  </si>
  <si>
    <t>Before Covid-19</t>
  </si>
  <si>
    <t>During Covid-19</t>
  </si>
  <si>
    <t>Somalia/Somaliland, Urban Digaale</t>
  </si>
  <si>
    <t>https://github.com/mrc-ide/contact_patterns
https://data.mendeley.com/datasets/rdskdgxrh3/1/files/b8abe9a5-549f-4398-b7b5-a64a281374fd/S2_data.xls?dl=1
https://static-content.springer.com/esm/art%3A10.1186%2Fs12879-018-3073-1/MediaObjects/12879_2018_3073_MOESM4_ESM.csv</t>
  </si>
  <si>
    <t>Data collection date</t>
  </si>
  <si>
    <t>2011;2012</t>
  </si>
  <si>
    <t>2021;2022</t>
  </si>
  <si>
    <t>2020;2021</t>
  </si>
  <si>
    <t>2019;2020</t>
  </si>
  <si>
    <t>2017;2018</t>
  </si>
  <si>
    <t>https://doi.org/10.1371/journal.pone.0104786.s007
https://github.com/mrc-ide/contact_patterns</t>
  </si>
  <si>
    <t>https://zenodo.org/records/3874675
https://github.com/mrc-ide/contact_patterns</t>
  </si>
  <si>
    <t>Dall’Amico et al. (2024)</t>
  </si>
  <si>
    <t>Del Fava et al. (2021)</t>
  </si>
  <si>
    <t>Dobreva et al. (2022)</t>
  </si>
  <si>
    <t>Dodd et al. (2016)</t>
  </si>
  <si>
    <t>Kiti et al. (2014)</t>
  </si>
  <si>
    <t>Glynn et al. (2020)</t>
  </si>
  <si>
    <t>Johnstone-Robertson et al. (2011)</t>
  </si>
  <si>
    <t>Kiti et al. (2016)</t>
  </si>
  <si>
    <t>Kiti et al. (2025)</t>
  </si>
  <si>
    <t>Kleynhans et al. (2021)</t>
  </si>
  <si>
    <t>le Polain de Waroux et al. (2018)</t>
  </si>
  <si>
    <t>McCreesh et al. (2019)</t>
  </si>
  <si>
    <t>McCreesh et al. (2021)</t>
  </si>
  <si>
    <t>McCreesh et al. (2022)</t>
  </si>
  <si>
    <t>Melegaro et al. (2017)</t>
  </si>
  <si>
    <t>Osei et al. (2024)</t>
  </si>
  <si>
    <t>Osei et al. (2025)</t>
  </si>
  <si>
    <t>Quaife et al. (2020)</t>
  </si>
  <si>
    <t>Ozella et al. (2021)</t>
  </si>
  <si>
    <t>Thindwa et al. (2022)</t>
  </si>
  <si>
    <t>van Zandvoort et al. (2022)</t>
  </si>
  <si>
    <t>Somalia/Somaliland</t>
  </si>
  <si>
    <t>StudyCombinedWith</t>
  </si>
  <si>
    <t>SamplingMethod</t>
  </si>
  <si>
    <t>NONE</t>
  </si>
  <si>
    <t>Elt of the matrix adjusted for the age structure of the population in 2020 and weekdays and weekends</t>
  </si>
  <si>
    <t>EmploymentStatusAvailable</t>
  </si>
  <si>
    <t>ContactDurationCollected</t>
  </si>
  <si>
    <t>ParticipantsSexCollected</t>
  </si>
  <si>
    <t>ParticipantsSelfReportedExactAge</t>
  </si>
  <si>
    <t>ParticipantsAgeGpEstimate</t>
  </si>
  <si>
    <t>ResidentialSetting</t>
  </si>
  <si>
    <t>HHSize</t>
  </si>
  <si>
    <t>ContactReportedAge</t>
  </si>
  <si>
    <t>ContactsAgeGpEstimate</t>
  </si>
  <si>
    <t>ContactsSexCollected</t>
  </si>
  <si>
    <t>StudentStatus</t>
  </si>
  <si>
    <t>EducationLvl</t>
  </si>
  <si>
    <t>ContactsLocationHH</t>
  </si>
  <si>
    <t>ContactsLocationSchool</t>
  </si>
  <si>
    <t>ContactsLocationWork</t>
  </si>
  <si>
    <t>ContactsLocationOther</t>
  </si>
  <si>
    <t>ContactsTypeDistinguished</t>
  </si>
  <si>
    <t>PHIRST</t>
  </si>
  <si>
    <t>random sampling</t>
  </si>
  <si>
    <t>AgeGpExcluded</t>
  </si>
  <si>
    <t>0-17</t>
  </si>
  <si>
    <t>IndividualLvlDataAvailable</t>
  </si>
  <si>
    <t>ContactDayConsidered</t>
  </si>
  <si>
    <t>Both</t>
  </si>
  <si>
    <t xml:space="preserve">Observed contact matrices were normalized using expected contact counts under random mixing (T_ab), which served as structural weights. </t>
  </si>
  <si>
    <t xml:space="preserve">We analysed all collected data by adjusting for sampling weights (the inverse of the probability that an observation is included because of the sampling design), which were calculated for each site separately to compute site-specific estimates. </t>
  </si>
  <si>
    <t>ZAMSTAR</t>
  </si>
  <si>
    <t>Multi‑stage sampling with PPS cluster selection and stratified random sampling</t>
  </si>
  <si>
    <t>Adjusted mean contact rates were calculated by weighting
data on individuals for community population size and the
age and sex proportions in the SEA</t>
  </si>
  <si>
    <t xml:space="preserve">ParticipationRates </t>
  </si>
  <si>
    <t>convenience sampling</t>
  </si>
  <si>
    <t>ReciprocityCorrection</t>
  </si>
  <si>
    <t>SamplingWeightUsed</t>
  </si>
  <si>
    <t>PowerCalculation</t>
  </si>
  <si>
    <t>gender and urban/rural location quota sample through RDD</t>
  </si>
  <si>
    <t xml:space="preserve">age-stratified random sampling </t>
  </si>
  <si>
    <t>age-stratified random sampling</t>
  </si>
  <si>
    <t>The study applied sampling weights based on the reciprocal of each participant’s probability of selection to correct the imbalance between the semi urban and rural sample and the underlying KHDSS population, and used these weights to compute weighted mean contact rates</t>
  </si>
  <si>
    <t>WAIFW</t>
  </si>
  <si>
    <t>The study did not apply sampling or demographic weights; instead, the authors extracted age stratified contact matrices from the undirected, symmetric contact networks by averaging the number and duration of contacts per individual within each age group and normalizing these averages over the three day observation period to obtain daily contact rates.</t>
  </si>
  <si>
    <t>age‑ and sex‑stratified random sampling</t>
  </si>
  <si>
    <t>The study applied no sampling or demographic weights; instead, it derived contact rate matrices by dividing the total number of reported contacts between age groups (x_ij) for both the 2 days and then the first day only, by the number of participants in age group i(n_i) to obtain per capita mean contact rates (m_ij=x_ij/n_i).</t>
  </si>
  <si>
    <t>The study did not apply sampling or demographic weights; instead, it derived age stratified contact matrices by summarizing the median number of contacts per person per day by age group, using survey weighted Taylor linearized variance estimation (‘svy’) to account for within household clustering.</t>
  </si>
  <si>
    <t>nasopharyngeal carriage study</t>
  </si>
  <si>
    <t>The studies applied age specific probability weights to account for unequal inclusion probabilities by age group and used linearized based (sandwich) variance estimators to adjust for clustering when deriving the mean age stratified contact rates reported in the social contact matrices.</t>
  </si>
  <si>
    <t>All contact estimates were weighted by age, sex, and day of the week to reflect the underlying census population structure before constructing age specific contact rates.</t>
  </si>
  <si>
    <t>Umoya omuhle (UO) Program in 2019 and longitudinal
Covid-19 surveillance project in 2020</t>
  </si>
  <si>
    <t>residential area, age-and sex-stratified random sampling</t>
  </si>
  <si>
    <t>The study weighted all contact data to the census population by age, sex, comorbidity status, sampling design, non response, and day of week, resampling detailed contacts when needed, to ensure that derived contact rates and matrices reflected the underlying demographic structure ensure methodological comparability between the 2019 and 2020 surveys.</t>
  </si>
  <si>
    <t>0-14</t>
  </si>
  <si>
    <t>RepresentativenessScope</t>
  </si>
  <si>
    <t>The study weighted casual contact time by assuming that the age distribution of adult contacts in each location type matched the weighted age distribution of respondents visiting that location and further weighted the tuberculosis specific matrices to reflect empirical estimates that 12% (range 8%–16%) of transmission occurs within households.</t>
  </si>
  <si>
    <t>Manicaland HIV Study</t>
  </si>
  <si>
    <t>site-and age-stratified random sampling</t>
  </si>
  <si>
    <t>The study applied sampling weights equal to the inverse probability of selection for each age–site–day stratum, calculated from census‑derived population counts, and used these weights to compute weighted mean contacts within strata before aggregating across days and sites to produce population‑level age‑specific contact rates.</t>
  </si>
  <si>
    <t>PVS trial</t>
  </si>
  <si>
    <t>The study applied post‑stratification weights on age, gender, and weekday to correct for oversampling of younger participants and to generate population‑representative estimates of contact rates and age‑stratified contact matrices.</t>
  </si>
  <si>
    <t>Contact rates within the derived matrices were normalized by aggregating symmetric edge weights from the proximity network and dividing by the number of overlapping sensor days and the average size of each age‑category pair, yielding per capita daily contact durations and events.</t>
  </si>
  <si>
    <t>Contact rates were weighted by adjusting the age stratified contact matrices to the age distribution of Nairobi’s informal settlement sub counties using 2019 census data, ensuring that estimated daily contact frequencies reflected the underlying population structure.</t>
  </si>
  <si>
    <t xml:space="preserve">TB prevalence survey </t>
  </si>
  <si>
    <t>cluster based random sampling</t>
  </si>
  <si>
    <t>Age specific contact rates were weighted by adjusting observed contact probabilities to the underlying age distribution of Ndirande (via a null model based on population proportions) and by accounting for the day of the week, ensuring that estimated contact rates reflected both population structure and weekly contact patterns rather than the sample alone.</t>
  </si>
  <si>
    <t>pneumococcal carriage study</t>
  </si>
  <si>
    <t>Contact rates were weighted using post stratification weights, constructed as the inverse probability of selection within each age  and gender stratum and further adjusted for day of week imbalances, to generate population representative estimates of daily contact rates in the Digaale IDP camp.</t>
  </si>
  <si>
    <t>quota sampling followed by probability‑based random sampling.</t>
  </si>
  <si>
    <t>Combined Reference period Method</t>
  </si>
  <si>
    <t>multiple days</t>
  </si>
  <si>
    <t>single day</t>
  </si>
  <si>
    <t>2 hours + 1 day recall</t>
  </si>
  <si>
    <t>ContactsLocationAll</t>
  </si>
  <si>
    <t>ReducedSamplingMethod</t>
  </si>
  <si>
    <t>Quota sampling</t>
  </si>
  <si>
    <t>Stratified random sampling</t>
  </si>
  <si>
    <t>Multi-stage / cluster sampling</t>
  </si>
  <si>
    <t>Convenience sampling</t>
  </si>
  <si>
    <t>Simple random sampling</t>
  </si>
  <si>
    <t>ReducedStudyCombinedWith</t>
  </si>
  <si>
    <t>ReducedSamplingWeightUsed</t>
  </si>
  <si>
    <t>Structural normalization only</t>
  </si>
  <si>
    <t>Sampling weights only</t>
  </si>
  <si>
    <t>Post-stratification weights</t>
  </si>
  <si>
    <t>None</t>
  </si>
  <si>
    <t>Hybrid weighting</t>
  </si>
  <si>
    <t>MonthlyIncomeSES</t>
  </si>
  <si>
    <t>Adults nationwide</t>
  </si>
  <si>
    <t>Local adults</t>
  </si>
  <si>
    <t>Local population</t>
  </si>
  <si>
    <t>Local students</t>
  </si>
  <si>
    <t>Sample population</t>
  </si>
  <si>
    <t>https://github.com/lorenzodallamico/PHIRST_SocioPatterns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</si>
</sst>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000_);_(* \(#,##0.000\);_(* &quot;-&quot;??_);_(@_)"/>
  </numFmts>
  <fonts count="12" x14ac:knownFonts="1">
    <font>
      <sz val="11"/>
      <color theme="1"/>
      <name val="Aptos Narrow"/>
      <family val="2"/>
      <scheme val="minor"/>
    </font>
    <font>
      <sz val="11"/>
      <color theme="1"/>
      <name val="Aptos Narrow"/>
      <family val="2"/>
      <scheme val="minor"/>
    </font>
    <font>
      <sz val="11"/>
      <color theme="1"/>
      <name val="Calibri"/>
      <family val="2"/>
    </font>
    <font>
      <b/>
      <sz val="11"/>
      <color theme="1"/>
      <name val="Calibri"/>
      <family val="2"/>
    </font>
    <font>
      <b/>
      <sz val="11"/>
      <color rgb="FF000000"/>
      <name val="Calibri"/>
      <family val="2"/>
    </font>
    <font>
      <sz val="11"/>
      <color rgb="FF000000"/>
      <name val="Calibri"/>
      <family val="2"/>
    </font>
    <font>
      <sz val="8"/>
      <name val="Aptos Narrow"/>
      <family val="2"/>
      <scheme val="minor"/>
    </font>
    <font>
      <u/>
      <sz val="11"/>
      <color theme="10"/>
      <name val="Aptos Narrow"/>
      <family val="2"/>
      <scheme val="minor"/>
    </font>
    <font>
      <b/>
      <u/>
      <sz val="11"/>
      <name val="Aptos Narrow"/>
      <family val="2"/>
      <scheme val="minor"/>
    </font>
    <font>
      <sz val="11"/>
      <name val="Calibri"/>
      <family val="2"/>
    </font>
    <font>
      <b/>
      <sz val="11"/>
      <color theme="1"/>
      <name val="Aptos Narrow"/>
      <family val="2"/>
      <scheme val="minor"/>
    </font>
    <font>
      <sz val="11"/>
      <color rgb="FFFF0000"/>
      <name val="Calibri"/>
      <family val="2"/>
    </font>
  </fonts>
  <fills count="8">
    <fill>
      <patternFill patternType="none"/>
    </fill>
    <fill>
      <patternFill patternType="gray125"/>
    </fill>
    <fill>
      <patternFill patternType="solid">
        <fgColor rgb="FFFFFFFF"/>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0" fontId="7" fillId="0" borderId="0" applyNumberFormat="0" applyFill="0" applyBorder="0" applyAlignment="0" applyProtection="0"/>
  </cellStyleXfs>
  <cellXfs count="72">
    <xf numFmtId="0" fontId="0" fillId="0" borderId="0" xfId="0"/>
    <xf numFmtId="0" fontId="4" fillId="2" borderId="1" xfId="0" applyFont="1" applyFill="1" applyBorder="1" applyAlignment="1">
      <alignment vertical="center"/>
    </xf>
    <xf numFmtId="0" fontId="5" fillId="2" borderId="1" xfId="0" applyFont="1" applyFill="1" applyBorder="1" applyAlignment="1">
      <alignment vertical="center"/>
    </xf>
    <xf numFmtId="0" fontId="4" fillId="0" borderId="1" xfId="0" applyFont="1" applyBorder="1" applyAlignment="1">
      <alignment vertical="center"/>
    </xf>
    <xf numFmtId="0" fontId="5" fillId="0" borderId="1" xfId="0" applyFont="1" applyBorder="1" applyAlignment="1">
      <alignment vertical="center"/>
    </xf>
    <xf numFmtId="0" fontId="5" fillId="0" borderId="1" xfId="0" applyFont="1" applyBorder="1" applyAlignment="1">
      <alignment horizontal="right" vertical="center"/>
    </xf>
    <xf numFmtId="164" fontId="0" fillId="0" borderId="0" xfId="1" applyNumberFormat="1" applyFont="1"/>
    <xf numFmtId="164" fontId="4" fillId="0" borderId="1" xfId="1" applyNumberFormat="1" applyFont="1" applyBorder="1" applyAlignment="1">
      <alignment vertical="center"/>
    </xf>
    <xf numFmtId="164" fontId="5" fillId="0" borderId="1" xfId="1" applyNumberFormat="1" applyFont="1" applyBorder="1" applyAlignment="1">
      <alignment vertical="center"/>
    </xf>
    <xf numFmtId="0" fontId="7" fillId="2" borderId="1" xfId="2" applyFill="1" applyBorder="1" applyAlignment="1">
      <alignment vertical="center"/>
    </xf>
    <xf numFmtId="0" fontId="5" fillId="3" borderId="1" xfId="0" applyFont="1" applyFill="1" applyBorder="1" applyAlignment="1">
      <alignment vertical="center"/>
    </xf>
    <xf numFmtId="0" fontId="4" fillId="3" borderId="1" xfId="0" applyFont="1" applyFill="1" applyBorder="1" applyAlignment="1">
      <alignment vertical="center"/>
    </xf>
    <xf numFmtId="164" fontId="5" fillId="3" borderId="1" xfId="1" applyNumberFormat="1" applyFont="1" applyFill="1" applyBorder="1" applyAlignment="1">
      <alignment vertical="center"/>
    </xf>
    <xf numFmtId="0" fontId="7" fillId="3" borderId="1" xfId="2" applyFill="1" applyBorder="1" applyAlignment="1">
      <alignment vertical="center"/>
    </xf>
    <xf numFmtId="0" fontId="8" fillId="3" borderId="1" xfId="2" applyFont="1" applyFill="1" applyBorder="1" applyAlignment="1">
      <alignment vertical="center"/>
    </xf>
    <xf numFmtId="0" fontId="9" fillId="3" borderId="1" xfId="0" applyFont="1" applyFill="1" applyBorder="1" applyAlignment="1">
      <alignment vertical="center"/>
    </xf>
    <xf numFmtId="164" fontId="5" fillId="0" borderId="1" xfId="1" applyNumberFormat="1" applyFont="1" applyFill="1" applyBorder="1" applyAlignment="1">
      <alignment vertical="center"/>
    </xf>
    <xf numFmtId="0" fontId="7" fillId="0" borderId="1" xfId="2" applyFill="1" applyBorder="1" applyAlignment="1">
      <alignment vertical="center"/>
    </xf>
    <xf numFmtId="0" fontId="3" fillId="3" borderId="1" xfId="0" applyFont="1" applyFill="1" applyBorder="1" applyAlignment="1">
      <alignment vertical="center"/>
    </xf>
    <xf numFmtId="0" fontId="2" fillId="3" borderId="1" xfId="0" applyFont="1" applyFill="1" applyBorder="1" applyAlignment="1">
      <alignment vertical="center"/>
    </xf>
    <xf numFmtId="164" fontId="2" fillId="3" borderId="1" xfId="1" applyNumberFormat="1" applyFont="1" applyFill="1" applyBorder="1" applyAlignment="1">
      <alignment vertical="center"/>
    </xf>
    <xf numFmtId="0" fontId="5" fillId="5" borderId="1" xfId="0" applyFont="1" applyFill="1" applyBorder="1" applyAlignment="1">
      <alignment vertical="center"/>
    </xf>
    <xf numFmtId="0" fontId="4" fillId="5" borderId="1" xfId="0" applyFont="1" applyFill="1" applyBorder="1" applyAlignment="1">
      <alignment vertical="center"/>
    </xf>
    <xf numFmtId="164" fontId="5" fillId="5" borderId="1" xfId="1" applyNumberFormat="1" applyFont="1" applyFill="1" applyBorder="1" applyAlignment="1">
      <alignment vertical="center"/>
    </xf>
    <xf numFmtId="0" fontId="7" fillId="5" borderId="1" xfId="2" applyFill="1" applyBorder="1" applyAlignment="1">
      <alignment vertical="center"/>
    </xf>
    <xf numFmtId="0" fontId="5" fillId="6" borderId="1" xfId="0" applyFont="1" applyFill="1" applyBorder="1" applyAlignment="1">
      <alignment vertical="center"/>
    </xf>
    <xf numFmtId="0" fontId="3" fillId="6" borderId="1" xfId="0" applyFont="1" applyFill="1" applyBorder="1" applyAlignment="1">
      <alignment vertical="center"/>
    </xf>
    <xf numFmtId="164" fontId="2" fillId="6" borderId="1" xfId="1" applyNumberFormat="1" applyFont="1" applyFill="1" applyBorder="1" applyAlignment="1">
      <alignment vertical="center"/>
    </xf>
    <xf numFmtId="0" fontId="2" fillId="6" borderId="1" xfId="0" applyFont="1" applyFill="1" applyBorder="1" applyAlignment="1">
      <alignment vertical="center"/>
    </xf>
    <xf numFmtId="0" fontId="0" fillId="4" borderId="0" xfId="0" applyFill="1"/>
    <xf numFmtId="0" fontId="10" fillId="0" borderId="0" xfId="0" applyFont="1"/>
    <xf numFmtId="0" fontId="5" fillId="0" borderId="1" xfId="0" applyFont="1" applyBorder="1" applyAlignment="1">
      <alignment horizontal="left" vertical="center"/>
    </xf>
    <xf numFmtId="0" fontId="2" fillId="0" borderId="1" xfId="0" applyFont="1" applyBorder="1" applyAlignment="1">
      <alignment horizontal="left" vertical="center"/>
    </xf>
    <xf numFmtId="164" fontId="4" fillId="3" borderId="1" xfId="1" applyNumberFormat="1" applyFont="1" applyFill="1" applyBorder="1" applyAlignment="1">
      <alignment vertical="center"/>
    </xf>
    <xf numFmtId="43" fontId="5" fillId="0" borderId="1" xfId="1" applyFont="1" applyBorder="1" applyAlignment="1">
      <alignment vertical="center"/>
    </xf>
    <xf numFmtId="43" fontId="5" fillId="3" borderId="1" xfId="1" applyFont="1" applyFill="1" applyBorder="1" applyAlignment="1">
      <alignment vertical="center"/>
    </xf>
    <xf numFmtId="43" fontId="5" fillId="0" borderId="1" xfId="1" applyFont="1" applyFill="1" applyBorder="1" applyAlignment="1">
      <alignment vertical="center"/>
    </xf>
    <xf numFmtId="43" fontId="5" fillId="5" borderId="1" xfId="1" applyFont="1" applyFill="1" applyBorder="1" applyAlignment="1">
      <alignment vertical="center"/>
    </xf>
    <xf numFmtId="43" fontId="2" fillId="6" borderId="1" xfId="1" applyFont="1" applyFill="1" applyBorder="1" applyAlignment="1">
      <alignment vertical="center"/>
    </xf>
    <xf numFmtId="43" fontId="0" fillId="0" borderId="0" xfId="1" applyFont="1"/>
    <xf numFmtId="0" fontId="7" fillId="6" borderId="1" xfId="2" applyFill="1" applyBorder="1" applyAlignment="1">
      <alignment vertical="center"/>
    </xf>
    <xf numFmtId="164" fontId="0" fillId="0" borderId="0" xfId="1" applyNumberFormat="1" applyFont="1" applyAlignment="1"/>
    <xf numFmtId="43" fontId="0" fillId="0" borderId="0" xfId="1" applyFont="1" applyAlignment="1"/>
    <xf numFmtId="49" fontId="5" fillId="0" borderId="1" xfId="1" applyNumberFormat="1" applyFont="1" applyFill="1" applyBorder="1" applyAlignment="1">
      <alignment vertical="center"/>
    </xf>
    <xf numFmtId="49" fontId="4" fillId="3" borderId="1" xfId="1" applyNumberFormat="1" applyFont="1" applyFill="1" applyBorder="1" applyAlignment="1">
      <alignment vertical="center"/>
    </xf>
    <xf numFmtId="49" fontId="5" fillId="0" borderId="1" xfId="1" applyNumberFormat="1" applyFont="1" applyBorder="1" applyAlignment="1">
      <alignment vertical="center"/>
    </xf>
    <xf numFmtId="49" fontId="5" fillId="3" borderId="1" xfId="1" applyNumberFormat="1" applyFont="1" applyFill="1" applyBorder="1" applyAlignment="1">
      <alignment vertical="center"/>
    </xf>
    <xf numFmtId="49" fontId="5" fillId="5" borderId="1" xfId="1" applyNumberFormat="1" applyFont="1" applyFill="1" applyBorder="1" applyAlignment="1">
      <alignment vertical="center"/>
    </xf>
    <xf numFmtId="49" fontId="2" fillId="3" borderId="1" xfId="1" applyNumberFormat="1" applyFont="1" applyFill="1" applyBorder="1" applyAlignment="1">
      <alignment vertical="center"/>
    </xf>
    <xf numFmtId="49" fontId="2" fillId="6" borderId="1" xfId="1" applyNumberFormat="1" applyFont="1" applyFill="1" applyBorder="1" applyAlignment="1">
      <alignment vertical="center"/>
    </xf>
    <xf numFmtId="49" fontId="0" fillId="0" borderId="0" xfId="1" applyNumberFormat="1" applyFont="1" applyAlignment="1"/>
    <xf numFmtId="49" fontId="0" fillId="0" borderId="0" xfId="1" applyNumberFormat="1" applyFont="1"/>
    <xf numFmtId="165" fontId="5" fillId="0" borderId="1" xfId="1" applyNumberFormat="1" applyFont="1" applyBorder="1" applyAlignment="1">
      <alignment vertical="center"/>
    </xf>
    <xf numFmtId="165" fontId="5" fillId="3" borderId="1" xfId="1" applyNumberFormat="1" applyFont="1" applyFill="1" applyBorder="1" applyAlignment="1">
      <alignment vertical="center"/>
    </xf>
    <xf numFmtId="0" fontId="0" fillId="0" borderId="0" xfId="0" applyAlignment="1">
      <alignment horizontal="left"/>
    </xf>
    <xf numFmtId="0" fontId="4" fillId="0" borderId="1" xfId="0" applyFont="1" applyBorder="1" applyAlignment="1">
      <alignment horizontal="left" vertical="center"/>
    </xf>
    <xf numFmtId="0" fontId="5" fillId="3" borderId="1" xfId="0" applyFont="1" applyFill="1" applyBorder="1" applyAlignment="1">
      <alignment horizontal="left" vertical="center"/>
    </xf>
    <xf numFmtId="0" fontId="5" fillId="5" borderId="1" xfId="0" applyFont="1" applyFill="1" applyBorder="1" applyAlignment="1">
      <alignment horizontal="left" vertical="center"/>
    </xf>
    <xf numFmtId="0" fontId="2" fillId="3" borderId="1" xfId="0" applyFont="1" applyFill="1" applyBorder="1" applyAlignment="1">
      <alignment horizontal="left" vertical="center"/>
    </xf>
    <xf numFmtId="0" fontId="5" fillId="6" borderId="1" xfId="0" applyFont="1" applyFill="1" applyBorder="1" applyAlignment="1">
      <alignment horizontal="left" vertical="center"/>
    </xf>
    <xf numFmtId="43" fontId="5" fillId="3" borderId="1" xfId="1" applyFont="1" applyFill="1" applyBorder="1" applyAlignment="1">
      <alignment horizontal="right" vertical="center"/>
    </xf>
    <xf numFmtId="43" fontId="5" fillId="0" borderId="1" xfId="1" applyFont="1" applyBorder="1" applyAlignment="1">
      <alignment horizontal="right" vertical="center"/>
    </xf>
    <xf numFmtId="49" fontId="5" fillId="0" borderId="1" xfId="1" applyNumberFormat="1" applyFont="1" applyFill="1" applyBorder="1" applyAlignment="1">
      <alignment horizontal="right" vertical="center"/>
    </xf>
    <xf numFmtId="49" fontId="5" fillId="0" borderId="1" xfId="1" applyNumberFormat="1" applyFont="1" applyBorder="1" applyAlignment="1">
      <alignment horizontal="right" vertical="center"/>
    </xf>
    <xf numFmtId="49" fontId="5" fillId="3" borderId="1" xfId="1" applyNumberFormat="1" applyFont="1" applyFill="1" applyBorder="1" applyAlignment="1">
      <alignment horizontal="right" vertical="center"/>
    </xf>
    <xf numFmtId="49" fontId="5" fillId="5" borderId="1" xfId="1" applyNumberFormat="1" applyFont="1" applyFill="1" applyBorder="1" applyAlignment="1">
      <alignment horizontal="right" vertical="center"/>
    </xf>
    <xf numFmtId="49" fontId="2" fillId="6" borderId="1" xfId="1" applyNumberFormat="1" applyFont="1" applyFill="1" applyBorder="1" applyAlignment="1">
      <alignment horizontal="right" vertical="center"/>
    </xf>
    <xf numFmtId="49" fontId="0" fillId="0" borderId="0" xfId="1" applyNumberFormat="1" applyFont="1" applyAlignment="1">
      <alignment horizontal="right"/>
    </xf>
    <xf numFmtId="164" fontId="4" fillId="7" borderId="1" xfId="1" applyNumberFormat="1" applyFont="1" applyFill="1" applyBorder="1" applyAlignment="1">
      <alignment vertical="center"/>
    </xf>
    <xf numFmtId="43" fontId="4" fillId="7" borderId="1" xfId="1" applyFont="1" applyFill="1" applyBorder="1" applyAlignment="1">
      <alignment vertical="center"/>
    </xf>
    <xf numFmtId="49" fontId="4" fillId="7" borderId="1" xfId="1" applyNumberFormat="1" applyFont="1" applyFill="1" applyBorder="1" applyAlignment="1">
      <alignment horizontal="center" vertical="center"/>
    </xf>
    <xf numFmtId="49" fontId="11" fillId="5" borderId="1" xfId="1" applyNumberFormat="1" applyFont="1" applyFill="1" applyBorder="1" applyAlignment="1">
      <alignment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Francis Barnabe Kengne" id="{AA699B18-CF19-400C-86E7-6501B2E758F6}" userId="S::fk01396@georgiasouthern.edu::7868334b-d9c7-4eed-a217-f18fbed6924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Q2" dT="2026-01-02T22:01:08.72" personId="{AA699B18-CF19-400C-86E7-6501B2E758F6}" id="{0D4439C3-8659-4C2D-9FEC-06E3343E059D}">
    <text xml:space="preserve">Used the PHIRST cohort’s power calculation (for respiratory infection attack rates, not contact patterns). </text>
  </threadedComment>
  <threadedComment ref="AT2" dT="2025-12-25T11:25:00.22" personId="{AA699B18-CF19-400C-86E7-6501B2E758F6}" id="{81F5A8DF-5AE6-48A4-A091-0832FC5F74D7}">
    <text xml:space="preserve">FOR PHIRST </text>
  </threadedComment>
  <threadedComment ref="AQ19" dT="2025-12-26T13:34:46.41" personId="{AA699B18-CF19-400C-86E7-6501B2E758F6}" id="{FE9F8385-7161-4D58-8079-06631BD625DE}">
    <text>Collected only conversational contact</text>
  </threadedComment>
  <threadedComment ref="AQ20" dT="2025-12-26T13:34:46.41" personId="{AA699B18-CF19-400C-86E7-6501B2E758F6}" id="{D65147B3-3736-469D-9D54-12234C1E3B64}">
    <text>Collected only conversational contact</text>
  </threadedComment>
  <threadedComment ref="AT21" dT="2025-12-26T13:22:30.56" personId="{AA699B18-CF19-400C-86E7-6501B2E758F6}" id="{30EA34FF-9938-4905-B9EB-9BBAADA909EA}">
    <text>(343+233)/641</text>
  </threadedComment>
  <threadedComment ref="AT22" dT="2025-12-26T21:51:54.62" personId="{AA699B18-CF19-400C-86E7-6501B2E758F6}" id="{19321F97-1FC8-480E-8B9C-1F17BF96CDCC}">
    <text>699/738</text>
  </threadedComment>
  <threadedComment ref="AQ23" dT="2025-12-26T23:06:25.33" personId="{AA699B18-CF19-400C-86E7-6501B2E758F6}" id="{72D6F878-084A-4C9C-BF54-461A980BC004}">
    <text>All contacts are physical</text>
  </threadedComment>
  <threadedComment ref="AC24" dT="2025-12-27T15:23:08.43" personId="{AA699B18-CF19-400C-86E7-6501B2E758F6}" id="{2CAF75BC-71BD-4A2E-BD1F-D0BE89A66007}">
    <text>Rural only</text>
  </threadedComment>
  <threadedComment ref="Q27" dT="2026-01-02T22:02:55.74" personId="{AA699B18-CF19-400C-86E7-6501B2E758F6}" id="{EF7520A7-EA9D-4D2F-AA13-6AF0FC33C4EA}">
    <text xml:space="preserve">Also relied on the PHIRST cohort’s power calculation (for influenza/RSV infection risk, not contact patterns). </text>
  </threadedComment>
  <threadedComment ref="Q28" dT="2026-01-02T22:03:03.23" personId="{AA699B18-CF19-400C-86E7-6501B2E758F6}" id="{DF43E4B6-693C-46EB-8CBD-E70F6BB72B3C}">
    <text xml:space="preserve">Also relied on the PHIRST cohort’s power calculation (for influenza/RSV infection risk, not contact patterns). </text>
  </threadedComment>
  <threadedComment ref="AT30" dT="2025-12-26T21:51:54.62" personId="{AA699B18-CF19-400C-86E7-6501B2E758F6}" id="{47393A40-7A15-4E59-9274-1232CF16F564}">
    <text>699/738 (See Johnstone-Roberson et al. (2011)</text>
  </threadedComment>
  <threadedComment ref="AC37" dT="2025-12-30T04:42:47.18" personId="{AA699B18-CF19-400C-86E7-6501B2E758F6}" id="{FB9A0981-4BBF-4352-B636-BEC38B8115F3}">
    <text>Only rural areas were concerned by the study</text>
  </threadedComment>
  <threadedComment ref="AS37" dT="2025-12-30T04:47:48.49" personId="{AA699B18-CF19-400C-86E7-6501B2E758F6}" id="{E4D340FF-F1E0-4218-BA39-2B2D8E85803C}">
    <text>Som schools open on saturday</text>
  </threadedComment>
  <threadedComment ref="AC38" dT="2025-12-30T15:39:14.71" personId="{AA699B18-CF19-400C-86E7-6501B2E758F6}" id="{1A2CB69C-6ECB-4452-A004-85617013910F}">
    <text>Only rural areas were involved in the study</text>
  </threadedComment>
  <threadedComment ref="AX39" dT="2025-11-01T03:38:51.51" personId="{AA699B18-CF19-400C-86E7-6501B2E758F6}" id="{51290534-1677-4C2A-B8E5-F7582EA72C23}">
    <text>The publicly available database is incomplete and cannot be used.</text>
  </threadedComment>
  <threadedComment ref="AC40" dT="2025-12-30T17:45:59.85" personId="{AA699B18-CF19-400C-86E7-6501B2E758F6}" id="{AED613C8-D11F-4C29-ABC3-8E5BD1B2F0BF}">
    <text>Only urban areas involved in the study</text>
  </threadedComment>
  <threadedComment ref="AC41" dT="2025-12-30T21:37:17.45" personId="{AA699B18-CF19-400C-86E7-6501B2E758F6}" id="{E4F6C7F8-5672-4691-BFD6-3895A3997FF2}">
    <text>Only urban areas were involved in the study.</text>
  </threadedComment>
  <threadedComment ref="AX41" dT="2025-11-01T03:38:51.51" personId="{AA699B18-CF19-400C-86E7-6501B2E758F6}" id="{4F804378-56E9-4DB1-ABC3-8BD59D685348}">
    <text>The publicly available database is incomplete and cannot be used.</text>
  </threadedComment>
  <threadedComment ref="AC42" dT="2025-12-30T21:37:29.06" personId="{AA699B18-CF19-400C-86E7-6501B2E758F6}" id="{25898081-F803-4849-BCDC-BC2A4A23AEA3}">
    <text>Only urban areas were involved in the study.</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zenodo.org/records/3886638" TargetMode="External"/><Relationship Id="rId13" Type="http://schemas.openxmlformats.org/officeDocument/2006/relationships/hyperlink" Target="https://github.com/lopmanlab/globalmix-mozambique-aim1" TargetMode="External"/><Relationship Id="rId18" Type="http://schemas.openxmlformats.org/officeDocument/2006/relationships/hyperlink" Target="https://github.com/NickyMcC/CasualAgeMixing" TargetMode="External"/><Relationship Id="rId26" Type="http://schemas.microsoft.com/office/2017/10/relationships/threadedComment" Target="../threadedComments/threadedComment1.xml"/><Relationship Id="rId3" Type="http://schemas.openxmlformats.org/officeDocument/2006/relationships/hyperlink" Target="https://osf.io/ebwrh/?view_only=19d34326583e47a19510668c6e1c17e5" TargetMode="External"/><Relationship Id="rId21" Type="http://schemas.openxmlformats.org/officeDocument/2006/relationships/hyperlink" Target="https://data.mendeley.com/datasets/rdskdgxrh3/1/files/b8abe9a5-549f-4398-b7b5-a64a281374fd/S2_data.xls?dl=1" TargetMode="External"/><Relationship Id="rId7" Type="http://schemas.openxmlformats.org/officeDocument/2006/relationships/hyperlink" Target="https://zenodo.org/records/7071876" TargetMode="External"/><Relationship Id="rId12" Type="http://schemas.openxmlformats.org/officeDocument/2006/relationships/hyperlink" Target="https://github.com/lopmanlab/globalmix-mozambique-aim1" TargetMode="External"/><Relationship Id="rId17" Type="http://schemas.openxmlformats.org/officeDocument/2006/relationships/hyperlink" Target="https://data.ahri.org/index.php/catalog/1018" TargetMode="External"/><Relationship Id="rId25" Type="http://schemas.openxmlformats.org/officeDocument/2006/relationships/comments" Target="../comments1.xml"/><Relationship Id="rId2" Type="http://schemas.openxmlformats.org/officeDocument/2006/relationships/hyperlink" Target="https://zenodo.org/records/11428980" TargetMode="External"/><Relationship Id="rId16" Type="http://schemas.openxmlformats.org/officeDocument/2006/relationships/hyperlink" Target="https://data.ahri.org/index.php/catalog/1018" TargetMode="External"/><Relationship Id="rId20" Type="http://schemas.openxmlformats.org/officeDocument/2006/relationships/hyperlink" Target="https://zenodo.org/records/3874675" TargetMode="External"/><Relationship Id="rId1" Type="http://schemas.openxmlformats.org/officeDocument/2006/relationships/hyperlink" Target="https://zenodo.org/records/14064156" TargetMode="External"/><Relationship Id="rId6" Type="http://schemas.openxmlformats.org/officeDocument/2006/relationships/hyperlink" Target="http://www.sociopatterns.org/datasets/kenyan-households-contact-network/" TargetMode="External"/><Relationship Id="rId11" Type="http://schemas.openxmlformats.org/officeDocument/2006/relationships/hyperlink" Target="https://github.com/deusthindwa/social.contact.rates.estimation.hiv.malawi" TargetMode="External"/><Relationship Id="rId24" Type="http://schemas.openxmlformats.org/officeDocument/2006/relationships/vmlDrawing" Target="../drawings/vmlDrawing1.vml"/><Relationship Id="rId5" Type="http://schemas.openxmlformats.org/officeDocument/2006/relationships/hyperlink" Target="http://www.sociopatterns.org/datasets/contact-patterns-in-a-village-in-rural-malawi/" TargetMode="External"/><Relationship Id="rId15" Type="http://schemas.openxmlformats.org/officeDocument/2006/relationships/hyperlink" Target="https://static-content.springer.com/esm/art%3A10.1186%2Fs12889-021-11136-6/MediaObjects/12889_2021_11136_MOESM5_ESM.csv" TargetMode="External"/><Relationship Id="rId23" Type="http://schemas.openxmlformats.org/officeDocument/2006/relationships/hyperlink" Target="https://github.com/lorenzodallamico/PHIRST_SocioPatterns" TargetMode="External"/><Relationship Id="rId10" Type="http://schemas.openxmlformats.org/officeDocument/2006/relationships/hyperlink" Target="https://meirumalawi-my.sharepoint.com/:f:/g/personal/paul_kambiya_meiru_mw/EmYA4vpDjDdFtDjt8-pdk_MB4SvoHw_N7e3Jmyfafw14dg?e=dRnsNl" TargetMode="External"/><Relationship Id="rId19" Type="http://schemas.openxmlformats.org/officeDocument/2006/relationships/hyperlink" Target="https://github.com/NickyMcC/CasualAgeMixing" TargetMode="External"/><Relationship Id="rId4" Type="http://schemas.openxmlformats.org/officeDocument/2006/relationships/hyperlink" Target="https://github.com/mrc-ide/contact_patterns" TargetMode="External"/><Relationship Id="rId9" Type="http://schemas.openxmlformats.org/officeDocument/2006/relationships/hyperlink" Target="https://github.com/mquaife/kenya_mixing" TargetMode="External"/><Relationship Id="rId14" Type="http://schemas.openxmlformats.org/officeDocument/2006/relationships/hyperlink" Target="https://static-content.springer.com/esm/art%3A10.1186%2Fs12889-021-11136-6/MediaObjects/12889_2021_11136_MOESM5_ESM.csv" TargetMode="External"/><Relationship Id="rId22" Type="http://schemas.openxmlformats.org/officeDocument/2006/relationships/hyperlink" Target="https://zenodo.org/records/387467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6D03E-AE8B-4895-BAA5-C450F188CB44}">
  <dimension ref="A1:AY43"/>
  <sheetViews>
    <sheetView tabSelected="1" workbookViewId="0">
      <pane xSplit="1" ySplit="1" topLeftCell="P2" activePane="bottomRight" state="frozen"/>
      <selection pane="topRight" activeCell="B1" sqref="B1"/>
      <selection pane="bottomLeft" activeCell="A2" sqref="A2"/>
      <selection pane="bottomRight" activeCell="Q1" sqref="Q1:Q1048576"/>
    </sheetView>
  </sheetViews>
  <sheetFormatPr defaultRowHeight="15" x14ac:dyDescent="0.25"/>
  <cols>
    <col min="1" max="1" width="27.7109375" bestFit="1" customWidth="1"/>
    <col min="2" max="2" width="31.42578125" bestFit="1" customWidth="1"/>
    <col min="3" max="3" width="49.140625" bestFit="1" customWidth="1"/>
    <col min="4" max="4" width="28" bestFit="1" customWidth="1"/>
    <col min="5" max="5" width="15.7109375" bestFit="1" customWidth="1"/>
    <col min="6" max="6" width="12.28515625" bestFit="1" customWidth="1"/>
    <col min="7" max="7" width="15.28515625" bestFit="1" customWidth="1"/>
    <col min="8" max="8" width="19.28515625" style="67" bestFit="1" customWidth="1"/>
    <col min="9" max="9" width="43.42578125" bestFit="1" customWidth="1"/>
    <col min="10" max="10" width="30.42578125" customWidth="1"/>
    <col min="11" max="11" width="35.7109375" bestFit="1" customWidth="1"/>
    <col min="12" max="12" width="30.5703125" bestFit="1" customWidth="1"/>
    <col min="13" max="13" width="28.140625" bestFit="1" customWidth="1"/>
    <col min="14" max="14" width="36.7109375" style="54" bestFit="1" customWidth="1"/>
    <col min="15" max="15" width="59.7109375" customWidth="1"/>
    <col min="16" max="16" width="25.28515625" style="51" customWidth="1"/>
    <col min="17" max="17" width="19" style="51" bestFit="1" customWidth="1"/>
    <col min="18" max="18" width="20.85546875" style="6" bestFit="1" customWidth="1"/>
    <col min="19" max="19" width="28.28515625" style="6" bestFit="1" customWidth="1"/>
    <col min="20" max="21" width="21.28515625" style="6" customWidth="1"/>
    <col min="22" max="22" width="20.85546875" style="51" bestFit="1" customWidth="1"/>
    <col min="23" max="23" width="20.85546875" style="51" customWidth="1"/>
    <col min="24" max="26" width="15.42578125" style="6" bestFit="1" customWidth="1"/>
    <col min="27" max="27" width="15.140625" style="51" bestFit="1" customWidth="1"/>
    <col min="28" max="29" width="15.42578125" style="6" bestFit="1" customWidth="1"/>
    <col min="30" max="30" width="8.5703125" style="6" bestFit="1" customWidth="1"/>
    <col min="31" max="31" width="8.5703125" style="6" customWidth="1"/>
    <col min="32" max="33" width="15.42578125" style="6" bestFit="1" customWidth="1"/>
    <col min="34" max="34" width="13.7109375" style="6" bestFit="1" customWidth="1"/>
    <col min="35" max="35" width="21.140625" style="6" customWidth="1"/>
    <col min="36" max="37" width="15.42578125" style="6" bestFit="1" customWidth="1"/>
    <col min="38" max="38" width="15.42578125" style="6" customWidth="1"/>
    <col min="39" max="39" width="17.140625" style="6" customWidth="1"/>
    <col min="40" max="42" width="15.42578125" style="6" customWidth="1"/>
    <col min="43" max="43" width="14.42578125" style="6" bestFit="1" customWidth="1"/>
    <col min="44" max="45" width="15.42578125" style="6" bestFit="1" customWidth="1"/>
    <col min="46" max="46" width="19.28515625" style="39" bestFit="1" customWidth="1"/>
    <col min="47" max="47" width="25.85546875" style="6" bestFit="1" customWidth="1"/>
    <col min="48" max="49" width="23" style="6" customWidth="1"/>
    <col min="50" max="50" width="15.85546875" bestFit="1" customWidth="1"/>
    <col min="51" max="51" width="255.7109375" bestFit="1" customWidth="1"/>
  </cols>
  <sheetData>
    <row r="1" spans="1:51" ht="21.75" customHeight="1" x14ac:dyDescent="0.25">
      <c r="A1" s="1" t="s">
        <v>82</v>
      </c>
      <c r="B1" s="1" t="s">
        <v>0</v>
      </c>
      <c r="C1" s="1" t="s">
        <v>1</v>
      </c>
      <c r="D1" s="1" t="s">
        <v>80</v>
      </c>
      <c r="E1" s="3" t="s">
        <v>2</v>
      </c>
      <c r="F1" s="3" t="s">
        <v>118</v>
      </c>
      <c r="G1" s="3" t="s">
        <v>159</v>
      </c>
      <c r="H1" s="70" t="s">
        <v>164</v>
      </c>
      <c r="I1" s="1" t="s">
        <v>148</v>
      </c>
      <c r="J1" s="1" t="s">
        <v>149</v>
      </c>
      <c r="K1" s="3" t="s">
        <v>152</v>
      </c>
      <c r="L1" s="3" t="s">
        <v>158</v>
      </c>
      <c r="M1" s="3" t="s">
        <v>153</v>
      </c>
      <c r="N1" s="55" t="s">
        <v>263</v>
      </c>
      <c r="O1" s="1" t="s">
        <v>3</v>
      </c>
      <c r="P1" s="44" t="s">
        <v>144</v>
      </c>
      <c r="Q1" s="44" t="s">
        <v>231</v>
      </c>
      <c r="R1" s="33" t="s">
        <v>195</v>
      </c>
      <c r="S1" s="33" t="s">
        <v>268</v>
      </c>
      <c r="T1" s="68" t="s">
        <v>194</v>
      </c>
      <c r="U1" s="33" t="s">
        <v>274</v>
      </c>
      <c r="V1" s="44" t="s">
        <v>230</v>
      </c>
      <c r="W1" s="44" t="s">
        <v>275</v>
      </c>
      <c r="X1" s="33" t="s">
        <v>229</v>
      </c>
      <c r="Y1" s="33" t="s">
        <v>201</v>
      </c>
      <c r="Z1" s="33" t="s">
        <v>202</v>
      </c>
      <c r="AA1" s="44" t="s">
        <v>217</v>
      </c>
      <c r="AB1" s="33" t="s">
        <v>200</v>
      </c>
      <c r="AC1" s="33" t="s">
        <v>203</v>
      </c>
      <c r="AD1" s="33" t="s">
        <v>204</v>
      </c>
      <c r="AE1" s="33" t="s">
        <v>281</v>
      </c>
      <c r="AF1" s="33" t="s">
        <v>198</v>
      </c>
      <c r="AG1" s="33" t="s">
        <v>208</v>
      </c>
      <c r="AH1" s="33" t="s">
        <v>209</v>
      </c>
      <c r="AI1" s="33" t="s">
        <v>205</v>
      </c>
      <c r="AJ1" s="33" t="s">
        <v>206</v>
      </c>
      <c r="AK1" s="33" t="s">
        <v>207</v>
      </c>
      <c r="AL1" s="33" t="s">
        <v>267</v>
      </c>
      <c r="AM1" s="33" t="s">
        <v>210</v>
      </c>
      <c r="AN1" s="33" t="s">
        <v>211</v>
      </c>
      <c r="AO1" s="33" t="s">
        <v>212</v>
      </c>
      <c r="AP1" s="33" t="s">
        <v>213</v>
      </c>
      <c r="AQ1" s="33" t="s">
        <v>214</v>
      </c>
      <c r="AR1" s="33" t="s">
        <v>199</v>
      </c>
      <c r="AS1" s="68" t="s">
        <v>220</v>
      </c>
      <c r="AT1" s="69" t="s">
        <v>227</v>
      </c>
      <c r="AU1" s="33" t="s">
        <v>248</v>
      </c>
      <c r="AV1" s="7" t="s">
        <v>157</v>
      </c>
      <c r="AW1" s="7" t="s">
        <v>219</v>
      </c>
      <c r="AX1" s="1" t="s">
        <v>4</v>
      </c>
      <c r="AY1" s="1" t="s">
        <v>124</v>
      </c>
    </row>
    <row r="2" spans="1:51" x14ac:dyDescent="0.25">
      <c r="A2" s="21" t="s">
        <v>113</v>
      </c>
      <c r="B2" s="21" t="s">
        <v>172</v>
      </c>
      <c r="C2" s="21" t="s">
        <v>52</v>
      </c>
      <c r="D2" s="21" t="s">
        <v>56</v>
      </c>
      <c r="E2" s="22" t="s">
        <v>53</v>
      </c>
      <c r="F2" s="21" t="s">
        <v>122</v>
      </c>
      <c r="G2" s="21" t="s">
        <v>160</v>
      </c>
      <c r="H2" s="65" t="s">
        <v>169</v>
      </c>
      <c r="I2" s="21" t="s">
        <v>36</v>
      </c>
      <c r="J2" s="21" t="s">
        <v>151</v>
      </c>
      <c r="K2" s="21" t="s">
        <v>54</v>
      </c>
      <c r="L2" s="21" t="s">
        <v>155</v>
      </c>
      <c r="M2" s="21" t="s">
        <v>55</v>
      </c>
      <c r="N2" s="57" t="s">
        <v>264</v>
      </c>
      <c r="O2" s="21" t="s">
        <v>132</v>
      </c>
      <c r="P2" s="47" t="s">
        <v>145</v>
      </c>
      <c r="Q2" s="47" t="s">
        <v>156</v>
      </c>
      <c r="R2" s="23" t="s">
        <v>216</v>
      </c>
      <c r="S2" s="23" t="s">
        <v>273</v>
      </c>
      <c r="T2" s="23" t="s">
        <v>215</v>
      </c>
      <c r="U2" s="23" t="s">
        <v>155</v>
      </c>
      <c r="V2" s="47" t="s">
        <v>222</v>
      </c>
      <c r="W2" s="47" t="s">
        <v>276</v>
      </c>
      <c r="X2" s="23" t="s">
        <v>155</v>
      </c>
      <c r="Y2" s="23" t="s">
        <v>155</v>
      </c>
      <c r="Z2" s="23" t="s">
        <v>156</v>
      </c>
      <c r="AA2" s="47" t="s">
        <v>279</v>
      </c>
      <c r="AB2" s="23" t="s">
        <v>156</v>
      </c>
      <c r="AC2" s="23" t="s">
        <v>155</v>
      </c>
      <c r="AD2" s="23" t="s">
        <v>155</v>
      </c>
      <c r="AE2" s="23" t="s">
        <v>156</v>
      </c>
      <c r="AF2" s="23" t="s">
        <v>156</v>
      </c>
      <c r="AG2" s="23" t="s">
        <v>156</v>
      </c>
      <c r="AH2" s="23" t="s">
        <v>156</v>
      </c>
      <c r="AI2" s="23" t="s">
        <v>155</v>
      </c>
      <c r="AJ2" s="23" t="s">
        <v>156</v>
      </c>
      <c r="AK2" s="23" t="s">
        <v>156</v>
      </c>
      <c r="AL2" s="23" t="s">
        <v>155</v>
      </c>
      <c r="AM2" s="23" t="s">
        <v>155</v>
      </c>
      <c r="AN2" s="23" t="s">
        <v>156</v>
      </c>
      <c r="AO2" s="23" t="s">
        <v>156</v>
      </c>
      <c r="AP2" s="23" t="s">
        <v>156</v>
      </c>
      <c r="AQ2" s="23" t="s">
        <v>156</v>
      </c>
      <c r="AR2" s="23" t="s">
        <v>155</v>
      </c>
      <c r="AS2" s="23" t="s">
        <v>221</v>
      </c>
      <c r="AT2" s="37">
        <v>0.42</v>
      </c>
      <c r="AU2" s="23" t="s">
        <v>284</v>
      </c>
      <c r="AV2" s="23">
        <v>3</v>
      </c>
      <c r="AW2" s="23" t="s">
        <v>155</v>
      </c>
      <c r="AX2" s="21" t="s">
        <v>140</v>
      </c>
      <c r="AY2" s="24" t="s">
        <v>287</v>
      </c>
    </row>
    <row r="3" spans="1:51" x14ac:dyDescent="0.25">
      <c r="A3" s="2" t="s">
        <v>101</v>
      </c>
      <c r="B3" s="2" t="s">
        <v>173</v>
      </c>
      <c r="C3" s="2" t="s">
        <v>26</v>
      </c>
      <c r="D3" s="2" t="s">
        <v>30</v>
      </c>
      <c r="E3" s="3" t="s">
        <v>6</v>
      </c>
      <c r="F3" s="4" t="s">
        <v>120</v>
      </c>
      <c r="G3" s="4" t="s">
        <v>160</v>
      </c>
      <c r="H3" s="62">
        <v>2015</v>
      </c>
      <c r="I3" s="2" t="s">
        <v>123</v>
      </c>
      <c r="J3" s="2" t="s">
        <v>16</v>
      </c>
      <c r="K3" s="4" t="s">
        <v>27</v>
      </c>
      <c r="L3" s="4" t="s">
        <v>155</v>
      </c>
      <c r="M3" s="4" t="s">
        <v>28</v>
      </c>
      <c r="N3" s="31" t="s">
        <v>264</v>
      </c>
      <c r="O3" s="2" t="s">
        <v>29</v>
      </c>
      <c r="P3" s="45" t="s">
        <v>145</v>
      </c>
      <c r="Q3" s="45" t="s">
        <v>155</v>
      </c>
      <c r="R3" s="8" t="s">
        <v>234</v>
      </c>
      <c r="S3" s="8" t="s">
        <v>270</v>
      </c>
      <c r="T3" s="8" t="s">
        <v>196</v>
      </c>
      <c r="U3" s="8" t="s">
        <v>156</v>
      </c>
      <c r="V3" s="45" t="s">
        <v>223</v>
      </c>
      <c r="W3" s="45" t="s">
        <v>277</v>
      </c>
      <c r="X3" s="8" t="s">
        <v>155</v>
      </c>
      <c r="Y3" s="8" t="s">
        <v>155</v>
      </c>
      <c r="Z3" s="8" t="s">
        <v>156</v>
      </c>
      <c r="AA3" s="45" t="s">
        <v>279</v>
      </c>
      <c r="AB3" s="8" t="s">
        <v>155</v>
      </c>
      <c r="AC3" s="8" t="s">
        <v>155</v>
      </c>
      <c r="AD3" s="8" t="s">
        <v>155</v>
      </c>
      <c r="AE3" s="8" t="s">
        <v>155</v>
      </c>
      <c r="AF3" s="8" t="s">
        <v>155</v>
      </c>
      <c r="AG3" s="8" t="s">
        <v>155</v>
      </c>
      <c r="AH3" s="8" t="s">
        <v>155</v>
      </c>
      <c r="AI3" s="8" t="s">
        <v>155</v>
      </c>
      <c r="AJ3" s="8" t="s">
        <v>156</v>
      </c>
      <c r="AK3" s="8" t="s">
        <v>155</v>
      </c>
      <c r="AL3" s="8" t="s">
        <v>155</v>
      </c>
      <c r="AM3" s="8" t="s">
        <v>155</v>
      </c>
      <c r="AN3" s="8" t="s">
        <v>155</v>
      </c>
      <c r="AO3" s="8" t="s">
        <v>155</v>
      </c>
      <c r="AP3" s="8" t="s">
        <v>155</v>
      </c>
      <c r="AQ3" s="8" t="s">
        <v>155</v>
      </c>
      <c r="AR3" s="8" t="s">
        <v>155</v>
      </c>
      <c r="AS3" s="8" t="s">
        <v>221</v>
      </c>
      <c r="AT3" s="60" t="s">
        <v>10</v>
      </c>
      <c r="AU3" s="8" t="s">
        <v>284</v>
      </c>
      <c r="AV3" s="8">
        <v>14</v>
      </c>
      <c r="AW3" s="8" t="s">
        <v>155</v>
      </c>
      <c r="AX3" s="2" t="s">
        <v>19</v>
      </c>
      <c r="AY3" s="9" t="s">
        <v>128</v>
      </c>
    </row>
    <row r="4" spans="1:51" x14ac:dyDescent="0.25">
      <c r="A4" s="10" t="s">
        <v>83</v>
      </c>
      <c r="B4" s="10" t="s">
        <v>174</v>
      </c>
      <c r="C4" s="10" t="s">
        <v>5</v>
      </c>
      <c r="D4" s="10" t="s">
        <v>5</v>
      </c>
      <c r="E4" s="11" t="s">
        <v>6</v>
      </c>
      <c r="F4" s="10" t="s">
        <v>119</v>
      </c>
      <c r="G4" s="10" t="s">
        <v>161</v>
      </c>
      <c r="H4" s="64" t="s">
        <v>167</v>
      </c>
      <c r="I4" s="10" t="s">
        <v>7</v>
      </c>
      <c r="J4" s="10" t="s">
        <v>150</v>
      </c>
      <c r="K4" s="10" t="s">
        <v>8</v>
      </c>
      <c r="L4" s="10" t="s">
        <v>156</v>
      </c>
      <c r="M4" s="10" t="s">
        <v>9</v>
      </c>
      <c r="N4" s="56" t="s">
        <v>265</v>
      </c>
      <c r="O4" s="10" t="s">
        <v>11</v>
      </c>
      <c r="P4" s="46" t="s">
        <v>145</v>
      </c>
      <c r="Q4" s="46" t="s">
        <v>156</v>
      </c>
      <c r="R4" s="12" t="s">
        <v>232</v>
      </c>
      <c r="S4" s="12" t="s">
        <v>269</v>
      </c>
      <c r="T4" s="12" t="s">
        <v>196</v>
      </c>
      <c r="U4" s="12" t="s">
        <v>156</v>
      </c>
      <c r="V4" s="46" t="s">
        <v>197</v>
      </c>
      <c r="W4" s="46" t="s">
        <v>276</v>
      </c>
      <c r="X4" s="12" t="s">
        <v>155</v>
      </c>
      <c r="Y4" s="12" t="s">
        <v>155</v>
      </c>
      <c r="Z4" s="12" t="s">
        <v>156</v>
      </c>
      <c r="AA4" s="46" t="s">
        <v>218</v>
      </c>
      <c r="AB4" s="12" t="s">
        <v>156</v>
      </c>
      <c r="AC4" s="12" t="s">
        <v>155</v>
      </c>
      <c r="AD4" s="12" t="s">
        <v>155</v>
      </c>
      <c r="AE4" s="12" t="s">
        <v>155</v>
      </c>
      <c r="AF4" s="12" t="s">
        <v>156</v>
      </c>
      <c r="AG4" s="12" t="s">
        <v>156</v>
      </c>
      <c r="AH4" s="12" t="s">
        <v>155</v>
      </c>
      <c r="AI4" s="12" t="s">
        <v>156</v>
      </c>
      <c r="AJ4" s="12" t="s">
        <v>155</v>
      </c>
      <c r="AK4" s="12" t="s">
        <v>156</v>
      </c>
      <c r="AL4" s="12" t="s">
        <v>155</v>
      </c>
      <c r="AM4" s="12" t="s">
        <v>155</v>
      </c>
      <c r="AN4" s="12" t="s">
        <v>155</v>
      </c>
      <c r="AO4" s="12" t="s">
        <v>155</v>
      </c>
      <c r="AP4" s="12" t="s">
        <v>155</v>
      </c>
      <c r="AQ4" s="12" t="s">
        <v>156</v>
      </c>
      <c r="AR4" s="12" t="s">
        <v>156</v>
      </c>
      <c r="AS4" s="12" t="s">
        <v>221</v>
      </c>
      <c r="AT4" s="35">
        <v>0.41</v>
      </c>
      <c r="AU4" s="12" t="s">
        <v>282</v>
      </c>
      <c r="AV4" s="12">
        <v>5</v>
      </c>
      <c r="AW4" s="12" t="s">
        <v>156</v>
      </c>
      <c r="AX4" s="10" t="s">
        <v>10</v>
      </c>
      <c r="AY4" s="10" t="s">
        <v>10</v>
      </c>
    </row>
    <row r="5" spans="1:51" x14ac:dyDescent="0.25">
      <c r="A5" s="10" t="s">
        <v>92</v>
      </c>
      <c r="B5" s="10" t="s">
        <v>174</v>
      </c>
      <c r="C5" s="10" t="s">
        <v>12</v>
      </c>
      <c r="D5" s="10" t="s">
        <v>12</v>
      </c>
      <c r="E5" s="11" t="s">
        <v>13</v>
      </c>
      <c r="F5" s="10" t="s">
        <v>119</v>
      </c>
      <c r="G5" s="10" t="s">
        <v>161</v>
      </c>
      <c r="H5" s="64" t="s">
        <v>167</v>
      </c>
      <c r="I5" s="10" t="s">
        <v>7</v>
      </c>
      <c r="J5" s="10" t="s">
        <v>150</v>
      </c>
      <c r="K5" s="10" t="s">
        <v>8</v>
      </c>
      <c r="L5" s="10" t="s">
        <v>156</v>
      </c>
      <c r="M5" s="10" t="s">
        <v>9</v>
      </c>
      <c r="N5" s="56" t="s">
        <v>265</v>
      </c>
      <c r="O5" s="10" t="s">
        <v>11</v>
      </c>
      <c r="P5" s="46" t="s">
        <v>145</v>
      </c>
      <c r="Q5" s="46" t="s">
        <v>156</v>
      </c>
      <c r="R5" s="12" t="s">
        <v>232</v>
      </c>
      <c r="S5" s="12" t="s">
        <v>269</v>
      </c>
      <c r="T5" s="12" t="s">
        <v>196</v>
      </c>
      <c r="U5" s="12" t="s">
        <v>156</v>
      </c>
      <c r="V5" s="46" t="s">
        <v>197</v>
      </c>
      <c r="W5" s="46" t="s">
        <v>276</v>
      </c>
      <c r="X5" s="12" t="s">
        <v>155</v>
      </c>
      <c r="Y5" s="12" t="s">
        <v>155</v>
      </c>
      <c r="Z5" s="12" t="s">
        <v>156</v>
      </c>
      <c r="AA5" s="46" t="s">
        <v>218</v>
      </c>
      <c r="AB5" s="12" t="s">
        <v>156</v>
      </c>
      <c r="AC5" s="12" t="s">
        <v>155</v>
      </c>
      <c r="AD5" s="12" t="s">
        <v>155</v>
      </c>
      <c r="AE5" s="12" t="s">
        <v>155</v>
      </c>
      <c r="AF5" s="12" t="s">
        <v>156</v>
      </c>
      <c r="AG5" s="12" t="s">
        <v>156</v>
      </c>
      <c r="AH5" s="12" t="s">
        <v>155</v>
      </c>
      <c r="AI5" s="12" t="s">
        <v>156</v>
      </c>
      <c r="AJ5" s="12" t="s">
        <v>155</v>
      </c>
      <c r="AK5" s="12" t="s">
        <v>156</v>
      </c>
      <c r="AL5" s="12" t="s">
        <v>155</v>
      </c>
      <c r="AM5" s="12" t="s">
        <v>155</v>
      </c>
      <c r="AN5" s="12" t="s">
        <v>155</v>
      </c>
      <c r="AO5" s="12" t="s">
        <v>155</v>
      </c>
      <c r="AP5" s="12" t="s">
        <v>155</v>
      </c>
      <c r="AQ5" s="12" t="s">
        <v>156</v>
      </c>
      <c r="AR5" s="12" t="s">
        <v>156</v>
      </c>
      <c r="AS5" s="12" t="s">
        <v>221</v>
      </c>
      <c r="AT5" s="35">
        <v>0.41</v>
      </c>
      <c r="AU5" s="12" t="s">
        <v>282</v>
      </c>
      <c r="AV5" s="12">
        <v>4</v>
      </c>
      <c r="AW5" s="12" t="s">
        <v>156</v>
      </c>
      <c r="AX5" s="10" t="s">
        <v>10</v>
      </c>
      <c r="AY5" s="10" t="s">
        <v>10</v>
      </c>
    </row>
    <row r="6" spans="1:51" x14ac:dyDescent="0.25">
      <c r="A6" s="10" t="s">
        <v>84</v>
      </c>
      <c r="B6" s="10" t="s">
        <v>174</v>
      </c>
      <c r="C6" s="10" t="s">
        <v>14</v>
      </c>
      <c r="D6" s="10" t="s">
        <v>14</v>
      </c>
      <c r="E6" s="11" t="s">
        <v>13</v>
      </c>
      <c r="F6" s="10" t="s">
        <v>120</v>
      </c>
      <c r="G6" s="10" t="s">
        <v>161</v>
      </c>
      <c r="H6" s="64" t="s">
        <v>167</v>
      </c>
      <c r="I6" s="10" t="s">
        <v>7</v>
      </c>
      <c r="J6" s="10" t="s">
        <v>150</v>
      </c>
      <c r="K6" s="10" t="s">
        <v>8</v>
      </c>
      <c r="L6" s="10" t="s">
        <v>156</v>
      </c>
      <c r="M6" s="10" t="s">
        <v>9</v>
      </c>
      <c r="N6" s="56" t="s">
        <v>265</v>
      </c>
      <c r="O6" s="10" t="s">
        <v>11</v>
      </c>
      <c r="P6" s="46" t="s">
        <v>145</v>
      </c>
      <c r="Q6" s="46" t="s">
        <v>156</v>
      </c>
      <c r="R6" s="12" t="s">
        <v>232</v>
      </c>
      <c r="S6" s="12" t="s">
        <v>269</v>
      </c>
      <c r="T6" s="12" t="s">
        <v>196</v>
      </c>
      <c r="U6" s="12" t="s">
        <v>156</v>
      </c>
      <c r="V6" s="46" t="s">
        <v>197</v>
      </c>
      <c r="W6" s="46" t="s">
        <v>276</v>
      </c>
      <c r="X6" s="12" t="s">
        <v>155</v>
      </c>
      <c r="Y6" s="12" t="s">
        <v>155</v>
      </c>
      <c r="Z6" s="12" t="s">
        <v>156</v>
      </c>
      <c r="AA6" s="46" t="s">
        <v>218</v>
      </c>
      <c r="AB6" s="12" t="s">
        <v>156</v>
      </c>
      <c r="AC6" s="12" t="s">
        <v>155</v>
      </c>
      <c r="AD6" s="12" t="s">
        <v>155</v>
      </c>
      <c r="AE6" s="12" t="s">
        <v>155</v>
      </c>
      <c r="AF6" s="12" t="s">
        <v>156</v>
      </c>
      <c r="AG6" s="12" t="s">
        <v>156</v>
      </c>
      <c r="AH6" s="12" t="s">
        <v>155</v>
      </c>
      <c r="AI6" s="12" t="s">
        <v>156</v>
      </c>
      <c r="AJ6" s="12" t="s">
        <v>155</v>
      </c>
      <c r="AK6" s="12" t="s">
        <v>156</v>
      </c>
      <c r="AL6" s="12" t="s">
        <v>155</v>
      </c>
      <c r="AM6" s="12" t="s">
        <v>155</v>
      </c>
      <c r="AN6" s="12" t="s">
        <v>155</v>
      </c>
      <c r="AO6" s="12" t="s">
        <v>155</v>
      </c>
      <c r="AP6" s="12" t="s">
        <v>155</v>
      </c>
      <c r="AQ6" s="12" t="s">
        <v>156</v>
      </c>
      <c r="AR6" s="12" t="s">
        <v>156</v>
      </c>
      <c r="AS6" s="12" t="s">
        <v>221</v>
      </c>
      <c r="AT6" s="35">
        <v>0.41</v>
      </c>
      <c r="AU6" s="12" t="s">
        <v>282</v>
      </c>
      <c r="AV6" s="12">
        <v>5</v>
      </c>
      <c r="AW6" s="12" t="s">
        <v>156</v>
      </c>
      <c r="AX6" s="10" t="s">
        <v>10</v>
      </c>
      <c r="AY6" s="10" t="s">
        <v>10</v>
      </c>
    </row>
    <row r="7" spans="1:51" x14ac:dyDescent="0.25">
      <c r="A7" s="10" t="s">
        <v>86</v>
      </c>
      <c r="B7" s="10" t="s">
        <v>174</v>
      </c>
      <c r="C7" s="10" t="s">
        <v>23</v>
      </c>
      <c r="D7" s="10" t="s">
        <v>23</v>
      </c>
      <c r="E7" s="11" t="s">
        <v>6</v>
      </c>
      <c r="F7" s="10" t="s">
        <v>121</v>
      </c>
      <c r="G7" s="10" t="s">
        <v>161</v>
      </c>
      <c r="H7" s="64" t="s">
        <v>167</v>
      </c>
      <c r="I7" s="10" t="s">
        <v>7</v>
      </c>
      <c r="J7" s="10" t="s">
        <v>150</v>
      </c>
      <c r="K7" s="10" t="s">
        <v>8</v>
      </c>
      <c r="L7" s="10" t="s">
        <v>156</v>
      </c>
      <c r="M7" s="10" t="s">
        <v>9</v>
      </c>
      <c r="N7" s="56" t="s">
        <v>265</v>
      </c>
      <c r="O7" s="10" t="s">
        <v>11</v>
      </c>
      <c r="P7" s="46" t="s">
        <v>145</v>
      </c>
      <c r="Q7" s="46" t="s">
        <v>156</v>
      </c>
      <c r="R7" s="12" t="s">
        <v>232</v>
      </c>
      <c r="S7" s="12" t="s">
        <v>269</v>
      </c>
      <c r="T7" s="12" t="s">
        <v>196</v>
      </c>
      <c r="U7" s="12" t="s">
        <v>156</v>
      </c>
      <c r="V7" s="46" t="s">
        <v>197</v>
      </c>
      <c r="W7" s="46" t="s">
        <v>276</v>
      </c>
      <c r="X7" s="12" t="s">
        <v>155</v>
      </c>
      <c r="Y7" s="12" t="s">
        <v>155</v>
      </c>
      <c r="Z7" s="12" t="s">
        <v>156</v>
      </c>
      <c r="AA7" s="46" t="s">
        <v>218</v>
      </c>
      <c r="AB7" s="12" t="s">
        <v>156</v>
      </c>
      <c r="AC7" s="12" t="s">
        <v>155</v>
      </c>
      <c r="AD7" s="12" t="s">
        <v>155</v>
      </c>
      <c r="AE7" s="12" t="s">
        <v>155</v>
      </c>
      <c r="AF7" s="12" t="s">
        <v>156</v>
      </c>
      <c r="AG7" s="12" t="s">
        <v>156</v>
      </c>
      <c r="AH7" s="12" t="s">
        <v>155</v>
      </c>
      <c r="AI7" s="12" t="s">
        <v>156</v>
      </c>
      <c r="AJ7" s="12" t="s">
        <v>155</v>
      </c>
      <c r="AK7" s="12" t="s">
        <v>156</v>
      </c>
      <c r="AL7" s="12" t="s">
        <v>155</v>
      </c>
      <c r="AM7" s="12" t="s">
        <v>155</v>
      </c>
      <c r="AN7" s="12" t="s">
        <v>155</v>
      </c>
      <c r="AO7" s="12" t="s">
        <v>155</v>
      </c>
      <c r="AP7" s="12" t="s">
        <v>155</v>
      </c>
      <c r="AQ7" s="12" t="s">
        <v>156</v>
      </c>
      <c r="AR7" s="12" t="s">
        <v>156</v>
      </c>
      <c r="AS7" s="12" t="s">
        <v>221</v>
      </c>
      <c r="AT7" s="35">
        <v>0.41</v>
      </c>
      <c r="AU7" s="12" t="s">
        <v>282</v>
      </c>
      <c r="AV7" s="12">
        <v>5</v>
      </c>
      <c r="AW7" s="12" t="s">
        <v>156</v>
      </c>
      <c r="AX7" s="10" t="s">
        <v>10</v>
      </c>
      <c r="AY7" s="10" t="s">
        <v>10</v>
      </c>
    </row>
    <row r="8" spans="1:51" x14ac:dyDescent="0.25">
      <c r="A8" s="10" t="s">
        <v>87</v>
      </c>
      <c r="B8" s="10" t="s">
        <v>174</v>
      </c>
      <c r="C8" s="10" t="s">
        <v>24</v>
      </c>
      <c r="D8" s="10" t="s">
        <v>24</v>
      </c>
      <c r="E8" s="11" t="s">
        <v>13</v>
      </c>
      <c r="F8" s="10" t="s">
        <v>121</v>
      </c>
      <c r="G8" s="10" t="s">
        <v>161</v>
      </c>
      <c r="H8" s="64" t="s">
        <v>167</v>
      </c>
      <c r="I8" s="10" t="s">
        <v>7</v>
      </c>
      <c r="J8" s="10" t="s">
        <v>150</v>
      </c>
      <c r="K8" s="10" t="s">
        <v>8</v>
      </c>
      <c r="L8" s="10" t="s">
        <v>156</v>
      </c>
      <c r="M8" s="10" t="s">
        <v>9</v>
      </c>
      <c r="N8" s="56" t="s">
        <v>265</v>
      </c>
      <c r="O8" s="10" t="s">
        <v>11</v>
      </c>
      <c r="P8" s="46" t="s">
        <v>145</v>
      </c>
      <c r="Q8" s="46" t="s">
        <v>156</v>
      </c>
      <c r="R8" s="12" t="s">
        <v>232</v>
      </c>
      <c r="S8" s="12" t="s">
        <v>269</v>
      </c>
      <c r="T8" s="12" t="s">
        <v>196</v>
      </c>
      <c r="U8" s="12" t="s">
        <v>156</v>
      </c>
      <c r="V8" s="46" t="s">
        <v>197</v>
      </c>
      <c r="W8" s="46" t="s">
        <v>276</v>
      </c>
      <c r="X8" s="12" t="s">
        <v>155</v>
      </c>
      <c r="Y8" s="12" t="s">
        <v>155</v>
      </c>
      <c r="Z8" s="12" t="s">
        <v>156</v>
      </c>
      <c r="AA8" s="46" t="s">
        <v>218</v>
      </c>
      <c r="AB8" s="12" t="s">
        <v>156</v>
      </c>
      <c r="AC8" s="12" t="s">
        <v>155</v>
      </c>
      <c r="AD8" s="12" t="s">
        <v>155</v>
      </c>
      <c r="AE8" s="12" t="s">
        <v>155</v>
      </c>
      <c r="AF8" s="12" t="s">
        <v>156</v>
      </c>
      <c r="AG8" s="12" t="s">
        <v>156</v>
      </c>
      <c r="AH8" s="12" t="s">
        <v>155</v>
      </c>
      <c r="AI8" s="12" t="s">
        <v>156</v>
      </c>
      <c r="AJ8" s="12" t="s">
        <v>155</v>
      </c>
      <c r="AK8" s="12" t="s">
        <v>156</v>
      </c>
      <c r="AL8" s="12" t="s">
        <v>155</v>
      </c>
      <c r="AM8" s="12" t="s">
        <v>155</v>
      </c>
      <c r="AN8" s="12" t="s">
        <v>155</v>
      </c>
      <c r="AO8" s="12" t="s">
        <v>155</v>
      </c>
      <c r="AP8" s="12" t="s">
        <v>155</v>
      </c>
      <c r="AQ8" s="12" t="s">
        <v>156</v>
      </c>
      <c r="AR8" s="12" t="s">
        <v>156</v>
      </c>
      <c r="AS8" s="12" t="s">
        <v>221</v>
      </c>
      <c r="AT8" s="35">
        <v>0.41</v>
      </c>
      <c r="AU8" s="12" t="s">
        <v>282</v>
      </c>
      <c r="AV8" s="12">
        <v>5</v>
      </c>
      <c r="AW8" s="12" t="s">
        <v>156</v>
      </c>
      <c r="AX8" s="10" t="s">
        <v>10</v>
      </c>
      <c r="AY8" s="10" t="s">
        <v>10</v>
      </c>
    </row>
    <row r="9" spans="1:51" x14ac:dyDescent="0.25">
      <c r="A9" s="10" t="s">
        <v>100</v>
      </c>
      <c r="B9" s="10" t="s">
        <v>174</v>
      </c>
      <c r="C9" s="10" t="s">
        <v>25</v>
      </c>
      <c r="D9" s="10" t="s">
        <v>25</v>
      </c>
      <c r="E9" s="11" t="s">
        <v>6</v>
      </c>
      <c r="F9" s="10" t="s">
        <v>121</v>
      </c>
      <c r="G9" s="10" t="s">
        <v>161</v>
      </c>
      <c r="H9" s="64" t="s">
        <v>167</v>
      </c>
      <c r="I9" s="10" t="s">
        <v>7</v>
      </c>
      <c r="J9" s="10" t="s">
        <v>150</v>
      </c>
      <c r="K9" s="10" t="s">
        <v>8</v>
      </c>
      <c r="L9" s="10" t="s">
        <v>156</v>
      </c>
      <c r="M9" s="10" t="s">
        <v>9</v>
      </c>
      <c r="N9" s="56" t="s">
        <v>265</v>
      </c>
      <c r="O9" s="10" t="s">
        <v>11</v>
      </c>
      <c r="P9" s="46" t="s">
        <v>145</v>
      </c>
      <c r="Q9" s="46" t="s">
        <v>156</v>
      </c>
      <c r="R9" s="12" t="s">
        <v>232</v>
      </c>
      <c r="S9" s="12" t="s">
        <v>269</v>
      </c>
      <c r="T9" s="12" t="s">
        <v>196</v>
      </c>
      <c r="U9" s="12" t="s">
        <v>156</v>
      </c>
      <c r="V9" s="46" t="s">
        <v>197</v>
      </c>
      <c r="W9" s="46" t="s">
        <v>276</v>
      </c>
      <c r="X9" s="12" t="s">
        <v>155</v>
      </c>
      <c r="Y9" s="12" t="s">
        <v>155</v>
      </c>
      <c r="Z9" s="12" t="s">
        <v>156</v>
      </c>
      <c r="AA9" s="46" t="s">
        <v>218</v>
      </c>
      <c r="AB9" s="12" t="s">
        <v>156</v>
      </c>
      <c r="AC9" s="12" t="s">
        <v>155</v>
      </c>
      <c r="AD9" s="12" t="s">
        <v>155</v>
      </c>
      <c r="AE9" s="12" t="s">
        <v>155</v>
      </c>
      <c r="AF9" s="12" t="s">
        <v>156</v>
      </c>
      <c r="AG9" s="12" t="s">
        <v>156</v>
      </c>
      <c r="AH9" s="12" t="s">
        <v>155</v>
      </c>
      <c r="AI9" s="12" t="s">
        <v>156</v>
      </c>
      <c r="AJ9" s="12" t="s">
        <v>155</v>
      </c>
      <c r="AK9" s="12" t="s">
        <v>156</v>
      </c>
      <c r="AL9" s="12" t="s">
        <v>155</v>
      </c>
      <c r="AM9" s="12" t="s">
        <v>155</v>
      </c>
      <c r="AN9" s="12" t="s">
        <v>155</v>
      </c>
      <c r="AO9" s="12" t="s">
        <v>155</v>
      </c>
      <c r="AP9" s="12" t="s">
        <v>155</v>
      </c>
      <c r="AQ9" s="12" t="s">
        <v>156</v>
      </c>
      <c r="AR9" s="12" t="s">
        <v>156</v>
      </c>
      <c r="AS9" s="12" t="s">
        <v>221</v>
      </c>
      <c r="AT9" s="35">
        <v>0.41</v>
      </c>
      <c r="AU9" s="12" t="s">
        <v>282</v>
      </c>
      <c r="AV9" s="12">
        <v>5</v>
      </c>
      <c r="AW9" s="12" t="s">
        <v>156</v>
      </c>
      <c r="AX9" s="10" t="s">
        <v>10</v>
      </c>
      <c r="AY9" s="10" t="s">
        <v>10</v>
      </c>
    </row>
    <row r="10" spans="1:51" x14ac:dyDescent="0.25">
      <c r="A10" s="10" t="s">
        <v>88</v>
      </c>
      <c r="B10" s="10" t="s">
        <v>174</v>
      </c>
      <c r="C10" s="10" t="s">
        <v>30</v>
      </c>
      <c r="D10" s="10" t="s">
        <v>30</v>
      </c>
      <c r="E10" s="11" t="s">
        <v>6</v>
      </c>
      <c r="F10" s="10" t="s">
        <v>120</v>
      </c>
      <c r="G10" s="10" t="s">
        <v>161</v>
      </c>
      <c r="H10" s="64" t="s">
        <v>167</v>
      </c>
      <c r="I10" s="10" t="s">
        <v>7</v>
      </c>
      <c r="J10" s="10" t="s">
        <v>150</v>
      </c>
      <c r="K10" s="10" t="s">
        <v>8</v>
      </c>
      <c r="L10" s="10" t="s">
        <v>156</v>
      </c>
      <c r="M10" s="10" t="s">
        <v>9</v>
      </c>
      <c r="N10" s="56" t="s">
        <v>265</v>
      </c>
      <c r="O10" s="10" t="s">
        <v>11</v>
      </c>
      <c r="P10" s="46" t="s">
        <v>145</v>
      </c>
      <c r="Q10" s="46" t="s">
        <v>156</v>
      </c>
      <c r="R10" s="12" t="s">
        <v>232</v>
      </c>
      <c r="S10" s="12" t="s">
        <v>269</v>
      </c>
      <c r="T10" s="12" t="s">
        <v>196</v>
      </c>
      <c r="U10" s="12" t="s">
        <v>156</v>
      </c>
      <c r="V10" s="46" t="s">
        <v>197</v>
      </c>
      <c r="W10" s="46" t="s">
        <v>276</v>
      </c>
      <c r="X10" s="12" t="s">
        <v>155</v>
      </c>
      <c r="Y10" s="12" t="s">
        <v>155</v>
      </c>
      <c r="Z10" s="12" t="s">
        <v>156</v>
      </c>
      <c r="AA10" s="46" t="s">
        <v>218</v>
      </c>
      <c r="AB10" s="12" t="s">
        <v>156</v>
      </c>
      <c r="AC10" s="12" t="s">
        <v>155</v>
      </c>
      <c r="AD10" s="12" t="s">
        <v>155</v>
      </c>
      <c r="AE10" s="12" t="s">
        <v>155</v>
      </c>
      <c r="AF10" s="12" t="s">
        <v>156</v>
      </c>
      <c r="AG10" s="12" t="s">
        <v>156</v>
      </c>
      <c r="AH10" s="12" t="s">
        <v>155</v>
      </c>
      <c r="AI10" s="12" t="s">
        <v>156</v>
      </c>
      <c r="AJ10" s="12" t="s">
        <v>155</v>
      </c>
      <c r="AK10" s="12" t="s">
        <v>156</v>
      </c>
      <c r="AL10" s="12" t="s">
        <v>155</v>
      </c>
      <c r="AM10" s="12" t="s">
        <v>155</v>
      </c>
      <c r="AN10" s="12" t="s">
        <v>155</v>
      </c>
      <c r="AO10" s="12" t="s">
        <v>155</v>
      </c>
      <c r="AP10" s="12" t="s">
        <v>155</v>
      </c>
      <c r="AQ10" s="12" t="s">
        <v>156</v>
      </c>
      <c r="AR10" s="12" t="s">
        <v>156</v>
      </c>
      <c r="AS10" s="12" t="s">
        <v>221</v>
      </c>
      <c r="AT10" s="35">
        <v>0.41</v>
      </c>
      <c r="AU10" s="12" t="s">
        <v>282</v>
      </c>
      <c r="AV10" s="12">
        <v>5</v>
      </c>
      <c r="AW10" s="12" t="s">
        <v>156</v>
      </c>
      <c r="AX10" s="10" t="s">
        <v>10</v>
      </c>
      <c r="AY10" s="10" t="s">
        <v>10</v>
      </c>
    </row>
    <row r="11" spans="1:51" x14ac:dyDescent="0.25">
      <c r="A11" s="10" t="s">
        <v>89</v>
      </c>
      <c r="B11" s="10" t="s">
        <v>174</v>
      </c>
      <c r="C11" s="10" t="s">
        <v>40</v>
      </c>
      <c r="D11" s="10" t="s">
        <v>40</v>
      </c>
      <c r="E11" s="11" t="s">
        <v>13</v>
      </c>
      <c r="F11" s="10" t="s">
        <v>121</v>
      </c>
      <c r="G11" s="10" t="s">
        <v>161</v>
      </c>
      <c r="H11" s="64" t="s">
        <v>167</v>
      </c>
      <c r="I11" s="10" t="s">
        <v>7</v>
      </c>
      <c r="J11" s="10" t="s">
        <v>150</v>
      </c>
      <c r="K11" s="10" t="s">
        <v>8</v>
      </c>
      <c r="L11" s="10" t="s">
        <v>156</v>
      </c>
      <c r="M11" s="10" t="s">
        <v>9</v>
      </c>
      <c r="N11" s="56" t="s">
        <v>265</v>
      </c>
      <c r="O11" s="10" t="s">
        <v>11</v>
      </c>
      <c r="P11" s="46" t="s">
        <v>145</v>
      </c>
      <c r="Q11" s="46" t="s">
        <v>156</v>
      </c>
      <c r="R11" s="12" t="s">
        <v>232</v>
      </c>
      <c r="S11" s="12" t="s">
        <v>269</v>
      </c>
      <c r="T11" s="12" t="s">
        <v>196</v>
      </c>
      <c r="U11" s="12" t="s">
        <v>156</v>
      </c>
      <c r="V11" s="46" t="s">
        <v>197</v>
      </c>
      <c r="W11" s="46" t="s">
        <v>276</v>
      </c>
      <c r="X11" s="12" t="s">
        <v>155</v>
      </c>
      <c r="Y11" s="12" t="s">
        <v>155</v>
      </c>
      <c r="Z11" s="12" t="s">
        <v>156</v>
      </c>
      <c r="AA11" s="46" t="s">
        <v>218</v>
      </c>
      <c r="AB11" s="12" t="s">
        <v>156</v>
      </c>
      <c r="AC11" s="12" t="s">
        <v>155</v>
      </c>
      <c r="AD11" s="12" t="s">
        <v>155</v>
      </c>
      <c r="AE11" s="12" t="s">
        <v>155</v>
      </c>
      <c r="AF11" s="12" t="s">
        <v>156</v>
      </c>
      <c r="AG11" s="12" t="s">
        <v>156</v>
      </c>
      <c r="AH11" s="12" t="s">
        <v>155</v>
      </c>
      <c r="AI11" s="12" t="s">
        <v>156</v>
      </c>
      <c r="AJ11" s="12" t="s">
        <v>155</v>
      </c>
      <c r="AK11" s="12" t="s">
        <v>156</v>
      </c>
      <c r="AL11" s="12" t="s">
        <v>155</v>
      </c>
      <c r="AM11" s="12" t="s">
        <v>155</v>
      </c>
      <c r="AN11" s="12" t="s">
        <v>155</v>
      </c>
      <c r="AO11" s="12" t="s">
        <v>155</v>
      </c>
      <c r="AP11" s="12" t="s">
        <v>155</v>
      </c>
      <c r="AQ11" s="12" t="s">
        <v>156</v>
      </c>
      <c r="AR11" s="12" t="s">
        <v>156</v>
      </c>
      <c r="AS11" s="12" t="s">
        <v>221</v>
      </c>
      <c r="AT11" s="35">
        <v>0.41</v>
      </c>
      <c r="AU11" s="12" t="s">
        <v>282</v>
      </c>
      <c r="AV11" s="12">
        <v>5</v>
      </c>
      <c r="AW11" s="12" t="s">
        <v>156</v>
      </c>
      <c r="AX11" s="10" t="s">
        <v>10</v>
      </c>
      <c r="AY11" s="10" t="s">
        <v>10</v>
      </c>
    </row>
    <row r="12" spans="1:51" x14ac:dyDescent="0.25">
      <c r="A12" s="10" t="s">
        <v>90</v>
      </c>
      <c r="B12" s="10" t="s">
        <v>174</v>
      </c>
      <c r="C12" s="10" t="s">
        <v>45</v>
      </c>
      <c r="D12" s="10" t="s">
        <v>45</v>
      </c>
      <c r="E12" s="11" t="s">
        <v>13</v>
      </c>
      <c r="F12" s="10" t="s">
        <v>120</v>
      </c>
      <c r="G12" s="10" t="s">
        <v>161</v>
      </c>
      <c r="H12" s="64" t="s">
        <v>167</v>
      </c>
      <c r="I12" s="10" t="s">
        <v>7</v>
      </c>
      <c r="J12" s="10" t="s">
        <v>150</v>
      </c>
      <c r="K12" s="10" t="s">
        <v>8</v>
      </c>
      <c r="L12" s="10" t="s">
        <v>156</v>
      </c>
      <c r="M12" s="10" t="s">
        <v>9</v>
      </c>
      <c r="N12" s="56" t="s">
        <v>265</v>
      </c>
      <c r="O12" s="10" t="s">
        <v>11</v>
      </c>
      <c r="P12" s="46" t="s">
        <v>145</v>
      </c>
      <c r="Q12" s="46" t="s">
        <v>156</v>
      </c>
      <c r="R12" s="12" t="s">
        <v>232</v>
      </c>
      <c r="S12" s="12" t="s">
        <v>269</v>
      </c>
      <c r="T12" s="12" t="s">
        <v>196</v>
      </c>
      <c r="U12" s="12" t="s">
        <v>156</v>
      </c>
      <c r="V12" s="46" t="s">
        <v>197</v>
      </c>
      <c r="W12" s="46" t="s">
        <v>276</v>
      </c>
      <c r="X12" s="12" t="s">
        <v>155</v>
      </c>
      <c r="Y12" s="12" t="s">
        <v>155</v>
      </c>
      <c r="Z12" s="12" t="s">
        <v>156</v>
      </c>
      <c r="AA12" s="46" t="s">
        <v>218</v>
      </c>
      <c r="AB12" s="12" t="s">
        <v>156</v>
      </c>
      <c r="AC12" s="12" t="s">
        <v>155</v>
      </c>
      <c r="AD12" s="12" t="s">
        <v>155</v>
      </c>
      <c r="AE12" s="12" t="s">
        <v>155</v>
      </c>
      <c r="AF12" s="12" t="s">
        <v>156</v>
      </c>
      <c r="AG12" s="12" t="s">
        <v>156</v>
      </c>
      <c r="AH12" s="12" t="s">
        <v>155</v>
      </c>
      <c r="AI12" s="12" t="s">
        <v>156</v>
      </c>
      <c r="AJ12" s="12" t="s">
        <v>155</v>
      </c>
      <c r="AK12" s="12" t="s">
        <v>156</v>
      </c>
      <c r="AL12" s="12" t="s">
        <v>155</v>
      </c>
      <c r="AM12" s="12" t="s">
        <v>155</v>
      </c>
      <c r="AN12" s="12" t="s">
        <v>155</v>
      </c>
      <c r="AO12" s="12" t="s">
        <v>155</v>
      </c>
      <c r="AP12" s="12" t="s">
        <v>155</v>
      </c>
      <c r="AQ12" s="12" t="s">
        <v>156</v>
      </c>
      <c r="AR12" s="12" t="s">
        <v>156</v>
      </c>
      <c r="AS12" s="12" t="s">
        <v>221</v>
      </c>
      <c r="AT12" s="35">
        <v>0.41</v>
      </c>
      <c r="AU12" s="12" t="s">
        <v>282</v>
      </c>
      <c r="AV12" s="12">
        <v>5</v>
      </c>
      <c r="AW12" s="12" t="s">
        <v>156</v>
      </c>
      <c r="AX12" s="10" t="s">
        <v>10</v>
      </c>
      <c r="AY12" s="10" t="s">
        <v>10</v>
      </c>
    </row>
    <row r="13" spans="1:51" x14ac:dyDescent="0.25">
      <c r="A13" s="10" t="s">
        <v>91</v>
      </c>
      <c r="B13" s="10" t="s">
        <v>174</v>
      </c>
      <c r="C13" s="10" t="s">
        <v>49</v>
      </c>
      <c r="D13" s="10" t="s">
        <v>49</v>
      </c>
      <c r="E13" s="11" t="s">
        <v>6</v>
      </c>
      <c r="F13" s="10" t="s">
        <v>121</v>
      </c>
      <c r="G13" s="10" t="s">
        <v>161</v>
      </c>
      <c r="H13" s="64" t="s">
        <v>167</v>
      </c>
      <c r="I13" s="10" t="s">
        <v>7</v>
      </c>
      <c r="J13" s="10" t="s">
        <v>150</v>
      </c>
      <c r="K13" s="10" t="s">
        <v>8</v>
      </c>
      <c r="L13" s="10" t="s">
        <v>156</v>
      </c>
      <c r="M13" s="10" t="s">
        <v>9</v>
      </c>
      <c r="N13" s="56" t="s">
        <v>265</v>
      </c>
      <c r="O13" s="10" t="s">
        <v>11</v>
      </c>
      <c r="P13" s="46" t="s">
        <v>145</v>
      </c>
      <c r="Q13" s="46" t="s">
        <v>156</v>
      </c>
      <c r="R13" s="12" t="s">
        <v>232</v>
      </c>
      <c r="S13" s="12" t="s">
        <v>269</v>
      </c>
      <c r="T13" s="12" t="s">
        <v>196</v>
      </c>
      <c r="U13" s="12" t="s">
        <v>156</v>
      </c>
      <c r="V13" s="46" t="s">
        <v>197</v>
      </c>
      <c r="W13" s="46" t="s">
        <v>276</v>
      </c>
      <c r="X13" s="12" t="s">
        <v>155</v>
      </c>
      <c r="Y13" s="12" t="s">
        <v>155</v>
      </c>
      <c r="Z13" s="12" t="s">
        <v>156</v>
      </c>
      <c r="AA13" s="46" t="s">
        <v>218</v>
      </c>
      <c r="AB13" s="12" t="s">
        <v>156</v>
      </c>
      <c r="AC13" s="12" t="s">
        <v>155</v>
      </c>
      <c r="AD13" s="12" t="s">
        <v>155</v>
      </c>
      <c r="AE13" s="12" t="s">
        <v>155</v>
      </c>
      <c r="AF13" s="12" t="s">
        <v>156</v>
      </c>
      <c r="AG13" s="12" t="s">
        <v>156</v>
      </c>
      <c r="AH13" s="12" t="s">
        <v>155</v>
      </c>
      <c r="AI13" s="12" t="s">
        <v>156</v>
      </c>
      <c r="AJ13" s="12" t="s">
        <v>155</v>
      </c>
      <c r="AK13" s="12" t="s">
        <v>156</v>
      </c>
      <c r="AL13" s="12" t="s">
        <v>155</v>
      </c>
      <c r="AM13" s="12" t="s">
        <v>155</v>
      </c>
      <c r="AN13" s="12" t="s">
        <v>155</v>
      </c>
      <c r="AO13" s="12" t="s">
        <v>155</v>
      </c>
      <c r="AP13" s="12" t="s">
        <v>155</v>
      </c>
      <c r="AQ13" s="12" t="s">
        <v>156</v>
      </c>
      <c r="AR13" s="12" t="s">
        <v>156</v>
      </c>
      <c r="AS13" s="12" t="s">
        <v>221</v>
      </c>
      <c r="AT13" s="35">
        <v>0.41</v>
      </c>
      <c r="AU13" s="12" t="s">
        <v>282</v>
      </c>
      <c r="AV13" s="12">
        <v>5</v>
      </c>
      <c r="AW13" s="12" t="s">
        <v>156</v>
      </c>
      <c r="AX13" s="10" t="s">
        <v>10</v>
      </c>
      <c r="AY13" s="10" t="s">
        <v>10</v>
      </c>
    </row>
    <row r="14" spans="1:51" x14ac:dyDescent="0.25">
      <c r="A14" s="10" t="s">
        <v>112</v>
      </c>
      <c r="B14" s="10" t="s">
        <v>174</v>
      </c>
      <c r="C14" s="10" t="s">
        <v>56</v>
      </c>
      <c r="D14" s="10" t="s">
        <v>56</v>
      </c>
      <c r="E14" s="11" t="s">
        <v>53</v>
      </c>
      <c r="F14" s="10" t="s">
        <v>122</v>
      </c>
      <c r="G14" s="10" t="s">
        <v>161</v>
      </c>
      <c r="H14" s="64" t="s">
        <v>167</v>
      </c>
      <c r="I14" s="10" t="s">
        <v>7</v>
      </c>
      <c r="J14" s="10" t="s">
        <v>150</v>
      </c>
      <c r="K14" s="10" t="s">
        <v>8</v>
      </c>
      <c r="L14" s="10" t="s">
        <v>156</v>
      </c>
      <c r="M14" s="10" t="s">
        <v>9</v>
      </c>
      <c r="N14" s="56" t="s">
        <v>265</v>
      </c>
      <c r="O14" s="10" t="s">
        <v>11</v>
      </c>
      <c r="P14" s="46" t="s">
        <v>145</v>
      </c>
      <c r="Q14" s="46" t="s">
        <v>156</v>
      </c>
      <c r="R14" s="12" t="s">
        <v>232</v>
      </c>
      <c r="S14" s="12" t="s">
        <v>269</v>
      </c>
      <c r="T14" s="12" t="s">
        <v>196</v>
      </c>
      <c r="U14" s="12" t="s">
        <v>156</v>
      </c>
      <c r="V14" s="46" t="s">
        <v>197</v>
      </c>
      <c r="W14" s="46" t="s">
        <v>276</v>
      </c>
      <c r="X14" s="12" t="s">
        <v>155</v>
      </c>
      <c r="Y14" s="12" t="s">
        <v>155</v>
      </c>
      <c r="Z14" s="12" t="s">
        <v>156</v>
      </c>
      <c r="AA14" s="46" t="s">
        <v>218</v>
      </c>
      <c r="AB14" s="12" t="s">
        <v>156</v>
      </c>
      <c r="AC14" s="12" t="s">
        <v>155</v>
      </c>
      <c r="AD14" s="12" t="s">
        <v>155</v>
      </c>
      <c r="AE14" s="12" t="s">
        <v>155</v>
      </c>
      <c r="AF14" s="12" t="s">
        <v>156</v>
      </c>
      <c r="AG14" s="12" t="s">
        <v>156</v>
      </c>
      <c r="AH14" s="12" t="s">
        <v>155</v>
      </c>
      <c r="AI14" s="12" t="s">
        <v>156</v>
      </c>
      <c r="AJ14" s="12" t="s">
        <v>155</v>
      </c>
      <c r="AK14" s="12" t="s">
        <v>156</v>
      </c>
      <c r="AL14" s="12" t="s">
        <v>155</v>
      </c>
      <c r="AM14" s="12" t="s">
        <v>155</v>
      </c>
      <c r="AN14" s="12" t="s">
        <v>155</v>
      </c>
      <c r="AO14" s="12" t="s">
        <v>155</v>
      </c>
      <c r="AP14" s="12" t="s">
        <v>155</v>
      </c>
      <c r="AQ14" s="12" t="s">
        <v>156</v>
      </c>
      <c r="AR14" s="12" t="s">
        <v>156</v>
      </c>
      <c r="AS14" s="12" t="s">
        <v>221</v>
      </c>
      <c r="AT14" s="35">
        <v>0.41</v>
      </c>
      <c r="AU14" s="12" t="s">
        <v>282</v>
      </c>
      <c r="AV14" s="12">
        <v>5</v>
      </c>
      <c r="AW14" s="12" t="s">
        <v>156</v>
      </c>
      <c r="AX14" s="10" t="s">
        <v>10</v>
      </c>
      <c r="AY14" s="10" t="s">
        <v>10</v>
      </c>
    </row>
    <row r="15" spans="1:51" x14ac:dyDescent="0.25">
      <c r="A15" s="10" t="s">
        <v>102</v>
      </c>
      <c r="B15" s="10" t="s">
        <v>174</v>
      </c>
      <c r="C15" s="10" t="s">
        <v>50</v>
      </c>
      <c r="D15" s="10" t="s">
        <v>50</v>
      </c>
      <c r="E15" s="11" t="s">
        <v>6</v>
      </c>
      <c r="F15" s="10" t="s">
        <v>121</v>
      </c>
      <c r="G15" s="10" t="s">
        <v>161</v>
      </c>
      <c r="H15" s="64" t="s">
        <v>167</v>
      </c>
      <c r="I15" s="10" t="s">
        <v>7</v>
      </c>
      <c r="J15" s="10" t="s">
        <v>150</v>
      </c>
      <c r="K15" s="10" t="s">
        <v>8</v>
      </c>
      <c r="L15" s="10" t="s">
        <v>156</v>
      </c>
      <c r="M15" s="10" t="s">
        <v>9</v>
      </c>
      <c r="N15" s="56" t="s">
        <v>265</v>
      </c>
      <c r="O15" s="10" t="s">
        <v>11</v>
      </c>
      <c r="P15" s="46" t="s">
        <v>145</v>
      </c>
      <c r="Q15" s="46" t="s">
        <v>156</v>
      </c>
      <c r="R15" s="12" t="s">
        <v>232</v>
      </c>
      <c r="S15" s="12" t="s">
        <v>269</v>
      </c>
      <c r="T15" s="12" t="s">
        <v>196</v>
      </c>
      <c r="U15" s="12" t="s">
        <v>156</v>
      </c>
      <c r="V15" s="46" t="s">
        <v>197</v>
      </c>
      <c r="W15" s="46" t="s">
        <v>276</v>
      </c>
      <c r="X15" s="12" t="s">
        <v>155</v>
      </c>
      <c r="Y15" s="12" t="s">
        <v>155</v>
      </c>
      <c r="Z15" s="12" t="s">
        <v>156</v>
      </c>
      <c r="AA15" s="46" t="s">
        <v>218</v>
      </c>
      <c r="AB15" s="12" t="s">
        <v>156</v>
      </c>
      <c r="AC15" s="12" t="s">
        <v>155</v>
      </c>
      <c r="AD15" s="12" t="s">
        <v>155</v>
      </c>
      <c r="AE15" s="12" t="s">
        <v>155</v>
      </c>
      <c r="AF15" s="12" t="s">
        <v>156</v>
      </c>
      <c r="AG15" s="12" t="s">
        <v>156</v>
      </c>
      <c r="AH15" s="12" t="s">
        <v>155</v>
      </c>
      <c r="AI15" s="12" t="s">
        <v>156</v>
      </c>
      <c r="AJ15" s="12" t="s">
        <v>155</v>
      </c>
      <c r="AK15" s="12" t="s">
        <v>156</v>
      </c>
      <c r="AL15" s="12" t="s">
        <v>155</v>
      </c>
      <c r="AM15" s="12" t="s">
        <v>155</v>
      </c>
      <c r="AN15" s="12" t="s">
        <v>155</v>
      </c>
      <c r="AO15" s="12" t="s">
        <v>155</v>
      </c>
      <c r="AP15" s="12" t="s">
        <v>155</v>
      </c>
      <c r="AQ15" s="12" t="s">
        <v>156</v>
      </c>
      <c r="AR15" s="12" t="s">
        <v>156</v>
      </c>
      <c r="AS15" s="12" t="s">
        <v>221</v>
      </c>
      <c r="AT15" s="35">
        <v>0.41</v>
      </c>
      <c r="AU15" s="12" t="s">
        <v>282</v>
      </c>
      <c r="AV15" s="12">
        <v>5</v>
      </c>
      <c r="AW15" s="12" t="s">
        <v>156</v>
      </c>
      <c r="AX15" s="10" t="s">
        <v>10</v>
      </c>
      <c r="AY15" s="10" t="s">
        <v>10</v>
      </c>
    </row>
    <row r="16" spans="1:51" x14ac:dyDescent="0.25">
      <c r="A16" s="10" t="s">
        <v>104</v>
      </c>
      <c r="B16" s="10" t="s">
        <v>174</v>
      </c>
      <c r="C16" s="10" t="s">
        <v>68</v>
      </c>
      <c r="D16" s="10" t="s">
        <v>68</v>
      </c>
      <c r="E16" s="11" t="s">
        <v>13</v>
      </c>
      <c r="F16" s="10" t="s">
        <v>120</v>
      </c>
      <c r="G16" s="10" t="s">
        <v>161</v>
      </c>
      <c r="H16" s="64" t="s">
        <v>167</v>
      </c>
      <c r="I16" s="10" t="s">
        <v>7</v>
      </c>
      <c r="J16" s="10" t="s">
        <v>150</v>
      </c>
      <c r="K16" s="10" t="s">
        <v>8</v>
      </c>
      <c r="L16" s="10" t="s">
        <v>156</v>
      </c>
      <c r="M16" s="10" t="s">
        <v>9</v>
      </c>
      <c r="N16" s="56" t="s">
        <v>265</v>
      </c>
      <c r="O16" s="10" t="s">
        <v>11</v>
      </c>
      <c r="P16" s="46" t="s">
        <v>145</v>
      </c>
      <c r="Q16" s="46" t="s">
        <v>156</v>
      </c>
      <c r="R16" s="12" t="s">
        <v>232</v>
      </c>
      <c r="S16" s="12" t="s">
        <v>269</v>
      </c>
      <c r="T16" s="12" t="s">
        <v>196</v>
      </c>
      <c r="U16" s="12" t="s">
        <v>156</v>
      </c>
      <c r="V16" s="46" t="s">
        <v>197</v>
      </c>
      <c r="W16" s="46" t="s">
        <v>276</v>
      </c>
      <c r="X16" s="12" t="s">
        <v>155</v>
      </c>
      <c r="Y16" s="12" t="s">
        <v>155</v>
      </c>
      <c r="Z16" s="12" t="s">
        <v>156</v>
      </c>
      <c r="AA16" s="46" t="s">
        <v>218</v>
      </c>
      <c r="AB16" s="12" t="s">
        <v>156</v>
      </c>
      <c r="AC16" s="12" t="s">
        <v>155</v>
      </c>
      <c r="AD16" s="12" t="s">
        <v>155</v>
      </c>
      <c r="AE16" s="12" t="s">
        <v>155</v>
      </c>
      <c r="AF16" s="12" t="s">
        <v>156</v>
      </c>
      <c r="AG16" s="12" t="s">
        <v>156</v>
      </c>
      <c r="AH16" s="12" t="s">
        <v>155</v>
      </c>
      <c r="AI16" s="12" t="s">
        <v>156</v>
      </c>
      <c r="AJ16" s="12" t="s">
        <v>155</v>
      </c>
      <c r="AK16" s="12" t="s">
        <v>156</v>
      </c>
      <c r="AL16" s="12" t="s">
        <v>155</v>
      </c>
      <c r="AM16" s="12" t="s">
        <v>155</v>
      </c>
      <c r="AN16" s="12" t="s">
        <v>155</v>
      </c>
      <c r="AO16" s="12" t="s">
        <v>155</v>
      </c>
      <c r="AP16" s="12" t="s">
        <v>155</v>
      </c>
      <c r="AQ16" s="12" t="s">
        <v>156</v>
      </c>
      <c r="AR16" s="12" t="s">
        <v>156</v>
      </c>
      <c r="AS16" s="12" t="s">
        <v>221</v>
      </c>
      <c r="AT16" s="35">
        <v>0.41</v>
      </c>
      <c r="AU16" s="12" t="s">
        <v>282</v>
      </c>
      <c r="AV16" s="12">
        <v>5</v>
      </c>
      <c r="AW16" s="12" t="s">
        <v>156</v>
      </c>
      <c r="AX16" s="10" t="s">
        <v>10</v>
      </c>
      <c r="AY16" s="10" t="s">
        <v>10</v>
      </c>
    </row>
    <row r="17" spans="1:51" x14ac:dyDescent="0.25">
      <c r="A17" s="10" t="s">
        <v>105</v>
      </c>
      <c r="B17" s="10" t="s">
        <v>174</v>
      </c>
      <c r="C17" s="10" t="s">
        <v>69</v>
      </c>
      <c r="D17" s="10" t="s">
        <v>69</v>
      </c>
      <c r="E17" s="11" t="s">
        <v>6</v>
      </c>
      <c r="F17" s="10" t="s">
        <v>120</v>
      </c>
      <c r="G17" s="10" t="s">
        <v>161</v>
      </c>
      <c r="H17" s="64" t="s">
        <v>167</v>
      </c>
      <c r="I17" s="10" t="s">
        <v>7</v>
      </c>
      <c r="J17" s="10" t="s">
        <v>150</v>
      </c>
      <c r="K17" s="10" t="s">
        <v>8</v>
      </c>
      <c r="L17" s="10" t="s">
        <v>156</v>
      </c>
      <c r="M17" s="10" t="s">
        <v>9</v>
      </c>
      <c r="N17" s="56" t="s">
        <v>265</v>
      </c>
      <c r="O17" s="10" t="s">
        <v>11</v>
      </c>
      <c r="P17" s="46" t="s">
        <v>145</v>
      </c>
      <c r="Q17" s="46" t="s">
        <v>156</v>
      </c>
      <c r="R17" s="12" t="s">
        <v>232</v>
      </c>
      <c r="S17" s="12" t="s">
        <v>269</v>
      </c>
      <c r="T17" s="12" t="s">
        <v>196</v>
      </c>
      <c r="U17" s="12" t="s">
        <v>156</v>
      </c>
      <c r="V17" s="46" t="s">
        <v>197</v>
      </c>
      <c r="W17" s="46" t="s">
        <v>276</v>
      </c>
      <c r="X17" s="12" t="s">
        <v>155</v>
      </c>
      <c r="Y17" s="12" t="s">
        <v>155</v>
      </c>
      <c r="Z17" s="12" t="s">
        <v>156</v>
      </c>
      <c r="AA17" s="46" t="s">
        <v>218</v>
      </c>
      <c r="AB17" s="12" t="s">
        <v>156</v>
      </c>
      <c r="AC17" s="12" t="s">
        <v>155</v>
      </c>
      <c r="AD17" s="12" t="s">
        <v>155</v>
      </c>
      <c r="AE17" s="12" t="s">
        <v>155</v>
      </c>
      <c r="AF17" s="12" t="s">
        <v>156</v>
      </c>
      <c r="AG17" s="12" t="s">
        <v>156</v>
      </c>
      <c r="AH17" s="12" t="s">
        <v>155</v>
      </c>
      <c r="AI17" s="12" t="s">
        <v>156</v>
      </c>
      <c r="AJ17" s="12" t="s">
        <v>155</v>
      </c>
      <c r="AK17" s="12" t="s">
        <v>156</v>
      </c>
      <c r="AL17" s="12" t="s">
        <v>155</v>
      </c>
      <c r="AM17" s="12" t="s">
        <v>155</v>
      </c>
      <c r="AN17" s="12" t="s">
        <v>155</v>
      </c>
      <c r="AO17" s="12" t="s">
        <v>155</v>
      </c>
      <c r="AP17" s="12" t="s">
        <v>155</v>
      </c>
      <c r="AQ17" s="12" t="s">
        <v>156</v>
      </c>
      <c r="AR17" s="12" t="s">
        <v>156</v>
      </c>
      <c r="AS17" s="12" t="s">
        <v>221</v>
      </c>
      <c r="AT17" s="35">
        <v>0.41</v>
      </c>
      <c r="AU17" s="12" t="s">
        <v>282</v>
      </c>
      <c r="AV17" s="12">
        <v>5</v>
      </c>
      <c r="AW17" s="12" t="s">
        <v>156</v>
      </c>
      <c r="AX17" s="10" t="s">
        <v>10</v>
      </c>
      <c r="AY17" s="10" t="s">
        <v>10</v>
      </c>
    </row>
    <row r="18" spans="1:51" x14ac:dyDescent="0.25">
      <c r="A18" s="10" t="s">
        <v>107</v>
      </c>
      <c r="B18" s="10" t="s">
        <v>174</v>
      </c>
      <c r="C18" s="10" t="s">
        <v>71</v>
      </c>
      <c r="D18" s="10" t="s">
        <v>71</v>
      </c>
      <c r="E18" s="11" t="s">
        <v>6</v>
      </c>
      <c r="F18" s="10" t="s">
        <v>120</v>
      </c>
      <c r="G18" s="10" t="s">
        <v>161</v>
      </c>
      <c r="H18" s="64" t="s">
        <v>167</v>
      </c>
      <c r="I18" s="10" t="s">
        <v>7</v>
      </c>
      <c r="J18" s="10" t="s">
        <v>150</v>
      </c>
      <c r="K18" s="10" t="s">
        <v>8</v>
      </c>
      <c r="L18" s="10" t="s">
        <v>156</v>
      </c>
      <c r="M18" s="10" t="s">
        <v>9</v>
      </c>
      <c r="N18" s="56" t="s">
        <v>265</v>
      </c>
      <c r="O18" s="10" t="s">
        <v>11</v>
      </c>
      <c r="P18" s="46" t="s">
        <v>145</v>
      </c>
      <c r="Q18" s="46" t="s">
        <v>156</v>
      </c>
      <c r="R18" s="12" t="s">
        <v>232</v>
      </c>
      <c r="S18" s="12" t="s">
        <v>269</v>
      </c>
      <c r="T18" s="12" t="s">
        <v>196</v>
      </c>
      <c r="U18" s="12" t="s">
        <v>156</v>
      </c>
      <c r="V18" s="46" t="s">
        <v>197</v>
      </c>
      <c r="W18" s="46" t="s">
        <v>276</v>
      </c>
      <c r="X18" s="12" t="s">
        <v>155</v>
      </c>
      <c r="Y18" s="12" t="s">
        <v>155</v>
      </c>
      <c r="Z18" s="12" t="s">
        <v>156</v>
      </c>
      <c r="AA18" s="46" t="s">
        <v>218</v>
      </c>
      <c r="AB18" s="12" t="s">
        <v>156</v>
      </c>
      <c r="AC18" s="12" t="s">
        <v>155</v>
      </c>
      <c r="AD18" s="12" t="s">
        <v>155</v>
      </c>
      <c r="AE18" s="12" t="s">
        <v>155</v>
      </c>
      <c r="AF18" s="12" t="s">
        <v>156</v>
      </c>
      <c r="AG18" s="12" t="s">
        <v>156</v>
      </c>
      <c r="AH18" s="12" t="s">
        <v>155</v>
      </c>
      <c r="AI18" s="12" t="s">
        <v>156</v>
      </c>
      <c r="AJ18" s="12" t="s">
        <v>155</v>
      </c>
      <c r="AK18" s="12" t="s">
        <v>156</v>
      </c>
      <c r="AL18" s="12" t="s">
        <v>155</v>
      </c>
      <c r="AM18" s="12" t="s">
        <v>155</v>
      </c>
      <c r="AN18" s="12" t="s">
        <v>155</v>
      </c>
      <c r="AO18" s="12" t="s">
        <v>155</v>
      </c>
      <c r="AP18" s="12" t="s">
        <v>155</v>
      </c>
      <c r="AQ18" s="12" t="s">
        <v>156</v>
      </c>
      <c r="AR18" s="12" t="s">
        <v>156</v>
      </c>
      <c r="AS18" s="12" t="s">
        <v>221</v>
      </c>
      <c r="AT18" s="35">
        <v>0.41</v>
      </c>
      <c r="AU18" s="12" t="s">
        <v>282</v>
      </c>
      <c r="AV18" s="12">
        <v>5</v>
      </c>
      <c r="AW18" s="12" t="s">
        <v>156</v>
      </c>
      <c r="AX18" s="10" t="s">
        <v>10</v>
      </c>
      <c r="AY18" s="10" t="s">
        <v>10</v>
      </c>
    </row>
    <row r="19" spans="1:51" x14ac:dyDescent="0.25">
      <c r="A19" s="2" t="s">
        <v>111</v>
      </c>
      <c r="B19" s="2" t="s">
        <v>175</v>
      </c>
      <c r="C19" s="2" t="s">
        <v>57</v>
      </c>
      <c r="D19" s="2" t="s">
        <v>56</v>
      </c>
      <c r="E19" s="3" t="s">
        <v>53</v>
      </c>
      <c r="F19" s="4" t="s">
        <v>122</v>
      </c>
      <c r="G19" s="4" t="s">
        <v>160</v>
      </c>
      <c r="H19" s="63">
        <v>2011</v>
      </c>
      <c r="I19" s="2" t="s">
        <v>21</v>
      </c>
      <c r="J19" s="2" t="s">
        <v>150</v>
      </c>
      <c r="K19" s="31" t="s">
        <v>8</v>
      </c>
      <c r="L19" s="31" t="s">
        <v>156</v>
      </c>
      <c r="M19" s="31" t="s">
        <v>9</v>
      </c>
      <c r="N19" s="31" t="s">
        <v>265</v>
      </c>
      <c r="O19" s="2" t="s">
        <v>58</v>
      </c>
      <c r="P19" s="45" t="s">
        <v>146</v>
      </c>
      <c r="Q19" s="45" t="s">
        <v>156</v>
      </c>
      <c r="R19" s="8" t="s">
        <v>225</v>
      </c>
      <c r="S19" s="8" t="s">
        <v>271</v>
      </c>
      <c r="T19" s="8" t="s">
        <v>224</v>
      </c>
      <c r="U19" s="8" t="s">
        <v>155</v>
      </c>
      <c r="V19" s="45" t="s">
        <v>226</v>
      </c>
      <c r="W19" s="45" t="s">
        <v>278</v>
      </c>
      <c r="X19" s="8" t="s">
        <v>156</v>
      </c>
      <c r="Y19" s="8" t="s">
        <v>155</v>
      </c>
      <c r="Z19" s="8" t="s">
        <v>156</v>
      </c>
      <c r="AA19" s="45" t="s">
        <v>218</v>
      </c>
      <c r="AB19" s="8" t="s">
        <v>155</v>
      </c>
      <c r="AC19" s="8" t="s">
        <v>156</v>
      </c>
      <c r="AD19" s="8" t="s">
        <v>155</v>
      </c>
      <c r="AE19" s="8" t="s">
        <v>156</v>
      </c>
      <c r="AF19" s="8" t="s">
        <v>155</v>
      </c>
      <c r="AG19" s="8" t="s">
        <v>155</v>
      </c>
      <c r="AH19" s="8" t="s">
        <v>156</v>
      </c>
      <c r="AI19" s="8" t="s">
        <v>155</v>
      </c>
      <c r="AJ19" s="8" t="s">
        <v>155</v>
      </c>
      <c r="AK19" s="8" t="s">
        <v>155</v>
      </c>
      <c r="AL19" s="8" t="s">
        <v>155</v>
      </c>
      <c r="AM19" s="8" t="s">
        <v>155</v>
      </c>
      <c r="AN19" s="8" t="s">
        <v>155</v>
      </c>
      <c r="AO19" s="8" t="s">
        <v>155</v>
      </c>
      <c r="AP19" s="8" t="s">
        <v>155</v>
      </c>
      <c r="AQ19" s="8" t="s">
        <v>155</v>
      </c>
      <c r="AR19" s="8" t="s">
        <v>155</v>
      </c>
      <c r="AS19" s="8" t="s">
        <v>221</v>
      </c>
      <c r="AT19" s="34">
        <v>0.98</v>
      </c>
      <c r="AU19" s="8" t="s">
        <v>283</v>
      </c>
      <c r="AV19" s="8">
        <v>1</v>
      </c>
      <c r="AW19" s="8" t="s">
        <v>155</v>
      </c>
      <c r="AX19" s="2" t="s">
        <v>19</v>
      </c>
      <c r="AY19" s="9" t="s">
        <v>171</v>
      </c>
    </row>
    <row r="20" spans="1:51" x14ac:dyDescent="0.25">
      <c r="A20" s="2" t="s">
        <v>106</v>
      </c>
      <c r="B20" s="2" t="s">
        <v>175</v>
      </c>
      <c r="C20" s="2" t="s">
        <v>70</v>
      </c>
      <c r="D20" s="2" t="s">
        <v>69</v>
      </c>
      <c r="E20" s="3" t="s">
        <v>6</v>
      </c>
      <c r="F20" s="4" t="s">
        <v>120</v>
      </c>
      <c r="G20" s="4" t="s">
        <v>160</v>
      </c>
      <c r="H20" s="63">
        <v>2011</v>
      </c>
      <c r="I20" s="2" t="s">
        <v>21</v>
      </c>
      <c r="J20" s="2" t="s">
        <v>150</v>
      </c>
      <c r="K20" s="4" t="s">
        <v>8</v>
      </c>
      <c r="L20" s="4" t="s">
        <v>156</v>
      </c>
      <c r="M20" s="4" t="s">
        <v>9</v>
      </c>
      <c r="N20" s="31" t="s">
        <v>265</v>
      </c>
      <c r="O20" s="2" t="s">
        <v>58</v>
      </c>
      <c r="P20" s="45" t="s">
        <v>146</v>
      </c>
      <c r="Q20" s="45" t="s">
        <v>156</v>
      </c>
      <c r="R20" s="8" t="s">
        <v>225</v>
      </c>
      <c r="S20" s="8" t="s">
        <v>271</v>
      </c>
      <c r="T20" s="8" t="s">
        <v>224</v>
      </c>
      <c r="U20" s="8" t="s">
        <v>155</v>
      </c>
      <c r="V20" s="45" t="s">
        <v>226</v>
      </c>
      <c r="W20" s="45" t="s">
        <v>278</v>
      </c>
      <c r="X20" s="8" t="s">
        <v>156</v>
      </c>
      <c r="Y20" s="8" t="s">
        <v>155</v>
      </c>
      <c r="Z20" s="8" t="s">
        <v>156</v>
      </c>
      <c r="AA20" s="45" t="s">
        <v>218</v>
      </c>
      <c r="AB20" s="8" t="s">
        <v>155</v>
      </c>
      <c r="AC20" s="8" t="s">
        <v>156</v>
      </c>
      <c r="AD20" s="8" t="s">
        <v>155</v>
      </c>
      <c r="AE20" s="8" t="s">
        <v>156</v>
      </c>
      <c r="AF20" s="8" t="s">
        <v>155</v>
      </c>
      <c r="AG20" s="8" t="s">
        <v>155</v>
      </c>
      <c r="AH20" s="8" t="s">
        <v>156</v>
      </c>
      <c r="AI20" s="8" t="s">
        <v>155</v>
      </c>
      <c r="AJ20" s="8" t="s">
        <v>155</v>
      </c>
      <c r="AK20" s="8" t="s">
        <v>155</v>
      </c>
      <c r="AL20" s="8" t="s">
        <v>155</v>
      </c>
      <c r="AM20" s="8" t="s">
        <v>155</v>
      </c>
      <c r="AN20" s="8" t="s">
        <v>155</v>
      </c>
      <c r="AO20" s="8" t="s">
        <v>155</v>
      </c>
      <c r="AP20" s="8" t="s">
        <v>155</v>
      </c>
      <c r="AQ20" s="8" t="s">
        <v>155</v>
      </c>
      <c r="AR20" s="8" t="s">
        <v>155</v>
      </c>
      <c r="AS20" s="8" t="s">
        <v>221</v>
      </c>
      <c r="AT20" s="34">
        <v>0.98</v>
      </c>
      <c r="AU20" s="8" t="s">
        <v>283</v>
      </c>
      <c r="AV20" s="8">
        <v>1</v>
      </c>
      <c r="AW20" s="8" t="s">
        <v>155</v>
      </c>
      <c r="AX20" s="2" t="s">
        <v>19</v>
      </c>
      <c r="AY20" s="9" t="s">
        <v>171</v>
      </c>
    </row>
    <row r="21" spans="1:51" x14ac:dyDescent="0.25">
      <c r="A21" s="2" t="s">
        <v>97</v>
      </c>
      <c r="B21" s="2" t="s">
        <v>177</v>
      </c>
      <c r="C21" s="2" t="s">
        <v>41</v>
      </c>
      <c r="D21" s="2" t="s">
        <v>81</v>
      </c>
      <c r="E21" s="3" t="s">
        <v>13</v>
      </c>
      <c r="F21" s="4" t="s">
        <v>120</v>
      </c>
      <c r="G21" s="4" t="s">
        <v>160</v>
      </c>
      <c r="H21" s="63">
        <v>2017</v>
      </c>
      <c r="I21" s="2" t="s">
        <v>73</v>
      </c>
      <c r="J21" s="2" t="s">
        <v>16</v>
      </c>
      <c r="K21" s="4" t="s">
        <v>32</v>
      </c>
      <c r="L21" s="4" t="s">
        <v>155</v>
      </c>
      <c r="M21" s="4" t="s">
        <v>33</v>
      </c>
      <c r="N21" s="31" t="s">
        <v>265</v>
      </c>
      <c r="O21" s="2" t="s">
        <v>42</v>
      </c>
      <c r="P21" s="45" t="s">
        <v>145</v>
      </c>
      <c r="Q21" s="45" t="s">
        <v>156</v>
      </c>
      <c r="R21" s="8" t="s">
        <v>228</v>
      </c>
      <c r="S21" s="8" t="s">
        <v>272</v>
      </c>
      <c r="T21" s="8" t="s">
        <v>196</v>
      </c>
      <c r="U21" s="8" t="s">
        <v>156</v>
      </c>
      <c r="V21" s="45" t="s">
        <v>196</v>
      </c>
      <c r="W21" s="45" t="s">
        <v>279</v>
      </c>
      <c r="X21" s="8" t="s">
        <v>156</v>
      </c>
      <c r="Y21" s="8" t="s">
        <v>155</v>
      </c>
      <c r="Z21" s="8" t="s">
        <v>156</v>
      </c>
      <c r="AA21" s="45" t="s">
        <v>279</v>
      </c>
      <c r="AB21" s="8" t="s">
        <v>155</v>
      </c>
      <c r="AC21" s="8" t="s">
        <v>155</v>
      </c>
      <c r="AD21" s="8" t="s">
        <v>156</v>
      </c>
      <c r="AE21" s="8" t="s">
        <v>156</v>
      </c>
      <c r="AF21" s="8" t="s">
        <v>155</v>
      </c>
      <c r="AG21" s="8" t="s">
        <v>155</v>
      </c>
      <c r="AH21" s="8" t="s">
        <v>155</v>
      </c>
      <c r="AI21" s="8" t="s">
        <v>156</v>
      </c>
      <c r="AJ21" s="8" t="s">
        <v>155</v>
      </c>
      <c r="AK21" s="8" t="s">
        <v>155</v>
      </c>
      <c r="AL21" s="8" t="s">
        <v>155</v>
      </c>
      <c r="AM21" s="8" t="s">
        <v>155</v>
      </c>
      <c r="AN21" s="8" t="s">
        <v>155</v>
      </c>
      <c r="AO21" s="8" t="s">
        <v>155</v>
      </c>
      <c r="AP21" s="8" t="s">
        <v>155</v>
      </c>
      <c r="AQ21" s="8" t="s">
        <v>155</v>
      </c>
      <c r="AR21" s="8" t="s">
        <v>155</v>
      </c>
      <c r="AS21" s="8" t="s">
        <v>221</v>
      </c>
      <c r="AT21" s="34">
        <v>0.9</v>
      </c>
      <c r="AU21" s="8" t="s">
        <v>286</v>
      </c>
      <c r="AV21" s="8">
        <v>12</v>
      </c>
      <c r="AW21" s="8" t="s">
        <v>155</v>
      </c>
      <c r="AX21" s="2" t="s">
        <v>19</v>
      </c>
      <c r="AY21" s="9" t="s">
        <v>135</v>
      </c>
    </row>
    <row r="22" spans="1:51" x14ac:dyDescent="0.25">
      <c r="A22" s="10" t="s">
        <v>110</v>
      </c>
      <c r="B22" s="10" t="s">
        <v>178</v>
      </c>
      <c r="C22" s="10" t="s">
        <v>59</v>
      </c>
      <c r="D22" s="10" t="s">
        <v>56</v>
      </c>
      <c r="E22" s="11" t="s">
        <v>53</v>
      </c>
      <c r="F22" s="10" t="s">
        <v>122</v>
      </c>
      <c r="G22" s="10" t="s">
        <v>160</v>
      </c>
      <c r="H22" s="64">
        <v>2010</v>
      </c>
      <c r="I22" s="10" t="s">
        <v>73</v>
      </c>
      <c r="J22" s="10" t="s">
        <v>16</v>
      </c>
      <c r="K22" s="10" t="s">
        <v>32</v>
      </c>
      <c r="L22" s="10" t="s">
        <v>155</v>
      </c>
      <c r="M22" s="10" t="s">
        <v>33</v>
      </c>
      <c r="N22" s="56" t="s">
        <v>265</v>
      </c>
      <c r="O22" s="10" t="s">
        <v>29</v>
      </c>
      <c r="P22" s="46" t="s">
        <v>145</v>
      </c>
      <c r="Q22" s="46" t="s">
        <v>156</v>
      </c>
      <c r="R22" s="12" t="s">
        <v>233</v>
      </c>
      <c r="S22" s="12" t="s">
        <v>270</v>
      </c>
      <c r="T22" s="12" t="s">
        <v>196</v>
      </c>
      <c r="U22" s="12" t="s">
        <v>156</v>
      </c>
      <c r="V22" s="46" t="s">
        <v>196</v>
      </c>
      <c r="W22" s="46" t="s">
        <v>279</v>
      </c>
      <c r="X22" s="12" t="s">
        <v>156</v>
      </c>
      <c r="Y22" s="12" t="s">
        <v>155</v>
      </c>
      <c r="Z22" s="12" t="s">
        <v>156</v>
      </c>
      <c r="AA22" s="46" t="s">
        <v>279</v>
      </c>
      <c r="AB22" s="12" t="s">
        <v>155</v>
      </c>
      <c r="AC22" s="12" t="s">
        <v>156</v>
      </c>
      <c r="AD22" s="12" t="s">
        <v>156</v>
      </c>
      <c r="AE22" s="12" t="s">
        <v>156</v>
      </c>
      <c r="AF22" s="12" t="s">
        <v>155</v>
      </c>
      <c r="AG22" s="12" t="s">
        <v>155</v>
      </c>
      <c r="AH22" s="12" t="s">
        <v>155</v>
      </c>
      <c r="AI22" s="12" t="s">
        <v>155</v>
      </c>
      <c r="AJ22" s="12" t="s">
        <v>156</v>
      </c>
      <c r="AK22" s="12" t="s">
        <v>155</v>
      </c>
      <c r="AL22" s="12" t="s">
        <v>155</v>
      </c>
      <c r="AM22" s="12" t="s">
        <v>155</v>
      </c>
      <c r="AN22" s="12" t="s">
        <v>155</v>
      </c>
      <c r="AO22" s="12" t="s">
        <v>155</v>
      </c>
      <c r="AP22" s="12" t="s">
        <v>155</v>
      </c>
      <c r="AQ22" s="12" t="s">
        <v>155</v>
      </c>
      <c r="AR22" s="12" t="s">
        <v>155</v>
      </c>
      <c r="AS22" s="12" t="s">
        <v>221</v>
      </c>
      <c r="AT22" s="35">
        <v>0.95</v>
      </c>
      <c r="AU22" s="12" t="s">
        <v>284</v>
      </c>
      <c r="AV22" s="12">
        <v>2</v>
      </c>
      <c r="AW22" s="12" t="s">
        <v>156</v>
      </c>
      <c r="AX22" s="10" t="s">
        <v>10</v>
      </c>
      <c r="AY22" s="10" t="s">
        <v>10</v>
      </c>
    </row>
    <row r="23" spans="1:51" x14ac:dyDescent="0.25">
      <c r="A23" s="2" t="s">
        <v>94</v>
      </c>
      <c r="B23" s="2" t="s">
        <v>176</v>
      </c>
      <c r="C23" s="2" t="s">
        <v>31</v>
      </c>
      <c r="D23" s="2" t="s">
        <v>30</v>
      </c>
      <c r="E23" s="3" t="s">
        <v>6</v>
      </c>
      <c r="F23" s="4" t="s">
        <v>120</v>
      </c>
      <c r="G23" s="4" t="s">
        <v>160</v>
      </c>
      <c r="H23" s="63" t="s">
        <v>165</v>
      </c>
      <c r="I23" s="2" t="s">
        <v>73</v>
      </c>
      <c r="J23" s="2" t="s">
        <v>16</v>
      </c>
      <c r="K23" s="4" t="s">
        <v>32</v>
      </c>
      <c r="L23" s="4" t="s">
        <v>155</v>
      </c>
      <c r="M23" s="4" t="s">
        <v>33</v>
      </c>
      <c r="N23" s="31" t="s">
        <v>265</v>
      </c>
      <c r="O23" s="2" t="s">
        <v>34</v>
      </c>
      <c r="P23" s="45" t="s">
        <v>147</v>
      </c>
      <c r="Q23" s="45" t="s">
        <v>155</v>
      </c>
      <c r="R23" s="8" t="s">
        <v>233</v>
      </c>
      <c r="S23" s="8" t="s">
        <v>270</v>
      </c>
      <c r="T23" s="8" t="s">
        <v>196</v>
      </c>
      <c r="U23" s="8" t="s">
        <v>156</v>
      </c>
      <c r="V23" s="45" t="s">
        <v>235</v>
      </c>
      <c r="W23" s="45" t="s">
        <v>277</v>
      </c>
      <c r="X23" s="8" t="s">
        <v>156</v>
      </c>
      <c r="Y23" s="8" t="s">
        <v>156</v>
      </c>
      <c r="Z23" s="8" t="s">
        <v>155</v>
      </c>
      <c r="AA23" s="45" t="s">
        <v>279</v>
      </c>
      <c r="AB23" s="8" t="s">
        <v>155</v>
      </c>
      <c r="AC23" s="8" t="s">
        <v>155</v>
      </c>
      <c r="AD23" s="8" t="s">
        <v>156</v>
      </c>
      <c r="AE23" s="8" t="s">
        <v>156</v>
      </c>
      <c r="AF23" s="8" t="s">
        <v>155</v>
      </c>
      <c r="AG23" s="8" t="s">
        <v>155</v>
      </c>
      <c r="AH23" s="8" t="s">
        <v>155</v>
      </c>
      <c r="AI23" s="8" t="s">
        <v>156</v>
      </c>
      <c r="AJ23" s="8" t="s">
        <v>155</v>
      </c>
      <c r="AK23" s="8" t="s">
        <v>156</v>
      </c>
      <c r="AL23" s="8" t="s">
        <v>155</v>
      </c>
      <c r="AM23" s="8" t="s">
        <v>156</v>
      </c>
      <c r="AN23" s="8" t="s">
        <v>156</v>
      </c>
      <c r="AO23" s="8" t="s">
        <v>156</v>
      </c>
      <c r="AP23" s="8" t="s">
        <v>156</v>
      </c>
      <c r="AQ23" s="8" t="s">
        <v>155</v>
      </c>
      <c r="AR23" s="8" t="s">
        <v>156</v>
      </c>
      <c r="AS23" s="8" t="s">
        <v>221</v>
      </c>
      <c r="AT23" s="34">
        <v>0.55000000000000004</v>
      </c>
      <c r="AU23" s="8" t="s">
        <v>284</v>
      </c>
      <c r="AV23" s="8">
        <v>1</v>
      </c>
      <c r="AW23" s="8" t="s">
        <v>155</v>
      </c>
      <c r="AX23" s="2" t="s">
        <v>19</v>
      </c>
      <c r="AY23" s="9" t="s">
        <v>170</v>
      </c>
    </row>
    <row r="24" spans="1:51" x14ac:dyDescent="0.25">
      <c r="A24" s="4" t="s">
        <v>95</v>
      </c>
      <c r="B24" s="4" t="s">
        <v>179</v>
      </c>
      <c r="C24" s="4" t="s">
        <v>35</v>
      </c>
      <c r="D24" s="4" t="s">
        <v>30</v>
      </c>
      <c r="E24" s="3" t="s">
        <v>6</v>
      </c>
      <c r="F24" s="4" t="s">
        <v>120</v>
      </c>
      <c r="G24" s="4" t="s">
        <v>160</v>
      </c>
      <c r="H24" s="62">
        <v>2012</v>
      </c>
      <c r="I24" s="4" t="s">
        <v>36</v>
      </c>
      <c r="J24" s="4" t="s">
        <v>151</v>
      </c>
      <c r="K24" s="4" t="s">
        <v>37</v>
      </c>
      <c r="L24" s="4" t="s">
        <v>155</v>
      </c>
      <c r="M24" s="4" t="s">
        <v>38</v>
      </c>
      <c r="N24" s="31" t="s">
        <v>264</v>
      </c>
      <c r="O24" s="4" t="s">
        <v>132</v>
      </c>
      <c r="P24" s="45" t="s">
        <v>145</v>
      </c>
      <c r="Q24" s="45" t="s">
        <v>156</v>
      </c>
      <c r="R24" s="16" t="s">
        <v>216</v>
      </c>
      <c r="S24" s="16" t="s">
        <v>273</v>
      </c>
      <c r="T24" s="16" t="s">
        <v>236</v>
      </c>
      <c r="U24" s="16" t="s">
        <v>155</v>
      </c>
      <c r="V24" s="43" t="s">
        <v>237</v>
      </c>
      <c r="W24" s="45" t="s">
        <v>277</v>
      </c>
      <c r="X24" s="16" t="s">
        <v>156</v>
      </c>
      <c r="Y24" s="16" t="s">
        <v>156</v>
      </c>
      <c r="Z24" s="16" t="s">
        <v>155</v>
      </c>
      <c r="AA24" s="43" t="s">
        <v>279</v>
      </c>
      <c r="AB24" s="16" t="s">
        <v>155</v>
      </c>
      <c r="AC24" s="16" t="s">
        <v>155</v>
      </c>
      <c r="AD24" s="16" t="s">
        <v>155</v>
      </c>
      <c r="AE24" s="16" t="s">
        <v>156</v>
      </c>
      <c r="AF24" s="16" t="s">
        <v>155</v>
      </c>
      <c r="AG24" s="16" t="s">
        <v>155</v>
      </c>
      <c r="AH24" s="16" t="s">
        <v>155</v>
      </c>
      <c r="AI24" s="16" t="s">
        <v>156</v>
      </c>
      <c r="AJ24" s="16" t="s">
        <v>155</v>
      </c>
      <c r="AK24" s="16" t="s">
        <v>155</v>
      </c>
      <c r="AL24" s="16" t="s">
        <v>156</v>
      </c>
      <c r="AM24" s="16" t="s">
        <v>155</v>
      </c>
      <c r="AN24" s="8" t="s">
        <v>156</v>
      </c>
      <c r="AO24" s="8" t="s">
        <v>156</v>
      </c>
      <c r="AP24" s="8" t="s">
        <v>156</v>
      </c>
      <c r="AQ24" s="16" t="s">
        <v>156</v>
      </c>
      <c r="AR24" s="16" t="s">
        <v>155</v>
      </c>
      <c r="AS24" s="16" t="s">
        <v>221</v>
      </c>
      <c r="AT24" s="36">
        <f>100/161</f>
        <v>0.6211180124223602</v>
      </c>
      <c r="AU24" s="16" t="s">
        <v>286</v>
      </c>
      <c r="AV24" s="16">
        <v>1</v>
      </c>
      <c r="AW24" s="16" t="s">
        <v>155</v>
      </c>
      <c r="AX24" s="4" t="s">
        <v>19</v>
      </c>
      <c r="AY24" s="17" t="s">
        <v>131</v>
      </c>
    </row>
    <row r="25" spans="1:51" x14ac:dyDescent="0.25">
      <c r="A25" s="21" t="s">
        <v>99</v>
      </c>
      <c r="B25" s="21" t="s">
        <v>180</v>
      </c>
      <c r="C25" s="21" t="s">
        <v>46</v>
      </c>
      <c r="D25" s="21" t="s">
        <v>45</v>
      </c>
      <c r="E25" s="22" t="s">
        <v>13</v>
      </c>
      <c r="F25" s="21" t="s">
        <v>120</v>
      </c>
      <c r="G25" s="21" t="s">
        <v>161</v>
      </c>
      <c r="H25" s="65" t="s">
        <v>166</v>
      </c>
      <c r="I25" s="21" t="s">
        <v>73</v>
      </c>
      <c r="J25" s="21" t="s">
        <v>16</v>
      </c>
      <c r="K25" s="21" t="s">
        <v>47</v>
      </c>
      <c r="L25" s="21" t="s">
        <v>155</v>
      </c>
      <c r="M25" s="21" t="s">
        <v>28</v>
      </c>
      <c r="N25" s="57" t="s">
        <v>264</v>
      </c>
      <c r="O25" s="21" t="s">
        <v>48</v>
      </c>
      <c r="P25" s="47" t="s">
        <v>145</v>
      </c>
      <c r="Q25" s="47" t="s">
        <v>155</v>
      </c>
      <c r="R25" s="23" t="s">
        <v>238</v>
      </c>
      <c r="S25" s="23" t="s">
        <v>270</v>
      </c>
      <c r="T25" s="23" t="s">
        <v>196</v>
      </c>
      <c r="U25" s="23" t="s">
        <v>156</v>
      </c>
      <c r="V25" s="47" t="s">
        <v>239</v>
      </c>
      <c r="W25" s="47" t="s">
        <v>279</v>
      </c>
      <c r="X25" s="23" t="s">
        <v>155</v>
      </c>
      <c r="Y25" s="23" t="s">
        <v>156</v>
      </c>
      <c r="Z25" s="23" t="s">
        <v>155</v>
      </c>
      <c r="AA25" s="47" t="s">
        <v>279</v>
      </c>
      <c r="AB25" s="23" t="s">
        <v>155</v>
      </c>
      <c r="AC25" s="23" t="s">
        <v>155</v>
      </c>
      <c r="AD25" s="23" t="s">
        <v>155</v>
      </c>
      <c r="AE25" s="23" t="s">
        <v>156</v>
      </c>
      <c r="AF25" s="23" t="s">
        <v>155</v>
      </c>
      <c r="AG25" s="23" t="s">
        <v>155</v>
      </c>
      <c r="AH25" s="23" t="s">
        <v>155</v>
      </c>
      <c r="AI25" s="23" t="s">
        <v>156</v>
      </c>
      <c r="AJ25" s="23" t="s">
        <v>155</v>
      </c>
      <c r="AK25" s="23" t="s">
        <v>155</v>
      </c>
      <c r="AL25" s="23" t="s">
        <v>155</v>
      </c>
      <c r="AM25" s="23" t="s">
        <v>155</v>
      </c>
      <c r="AN25" s="23" t="s">
        <v>155</v>
      </c>
      <c r="AO25" s="23" t="s">
        <v>155</v>
      </c>
      <c r="AP25" s="23" t="s">
        <v>155</v>
      </c>
      <c r="AQ25" s="23" t="s">
        <v>155</v>
      </c>
      <c r="AR25" s="23" t="s">
        <v>155</v>
      </c>
      <c r="AS25" s="23" t="s">
        <v>221</v>
      </c>
      <c r="AT25" s="37">
        <v>0.81</v>
      </c>
      <c r="AU25" s="23" t="s">
        <v>284</v>
      </c>
      <c r="AV25" s="23">
        <v>3</v>
      </c>
      <c r="AW25" s="23" t="s">
        <v>155</v>
      </c>
      <c r="AX25" s="21" t="s">
        <v>19</v>
      </c>
      <c r="AY25" s="24" t="s">
        <v>137</v>
      </c>
    </row>
    <row r="26" spans="1:51" x14ac:dyDescent="0.25">
      <c r="A26" s="21" t="s">
        <v>99</v>
      </c>
      <c r="B26" s="21" t="s">
        <v>180</v>
      </c>
      <c r="C26" s="21" t="s">
        <v>74</v>
      </c>
      <c r="D26" s="21" t="s">
        <v>45</v>
      </c>
      <c r="E26" s="22" t="s">
        <v>13</v>
      </c>
      <c r="F26" s="21" t="s">
        <v>120</v>
      </c>
      <c r="G26" s="21" t="s">
        <v>161</v>
      </c>
      <c r="H26" s="65" t="s">
        <v>166</v>
      </c>
      <c r="I26" s="21" t="s">
        <v>73</v>
      </c>
      <c r="J26" s="21" t="s">
        <v>16</v>
      </c>
      <c r="K26" s="21" t="s">
        <v>47</v>
      </c>
      <c r="L26" s="21" t="s">
        <v>155</v>
      </c>
      <c r="M26" s="21" t="s">
        <v>28</v>
      </c>
      <c r="N26" s="57" t="s">
        <v>264</v>
      </c>
      <c r="O26" s="21" t="s">
        <v>48</v>
      </c>
      <c r="P26" s="47" t="s">
        <v>145</v>
      </c>
      <c r="Q26" s="47" t="s">
        <v>155</v>
      </c>
      <c r="R26" s="23" t="s">
        <v>238</v>
      </c>
      <c r="S26" s="23" t="s">
        <v>270</v>
      </c>
      <c r="T26" s="23" t="s">
        <v>196</v>
      </c>
      <c r="U26" s="23" t="s">
        <v>156</v>
      </c>
      <c r="V26" s="47" t="s">
        <v>239</v>
      </c>
      <c r="W26" s="47" t="s">
        <v>279</v>
      </c>
      <c r="X26" s="23" t="s">
        <v>155</v>
      </c>
      <c r="Y26" s="23" t="s">
        <v>156</v>
      </c>
      <c r="Z26" s="23" t="s">
        <v>155</v>
      </c>
      <c r="AA26" s="47" t="s">
        <v>279</v>
      </c>
      <c r="AB26" s="23" t="s">
        <v>155</v>
      </c>
      <c r="AC26" s="23" t="s">
        <v>155</v>
      </c>
      <c r="AD26" s="23" t="s">
        <v>155</v>
      </c>
      <c r="AE26" s="23" t="s">
        <v>156</v>
      </c>
      <c r="AF26" s="23" t="s">
        <v>155</v>
      </c>
      <c r="AG26" s="23" t="s">
        <v>155</v>
      </c>
      <c r="AH26" s="23" t="s">
        <v>155</v>
      </c>
      <c r="AI26" s="23" t="s">
        <v>156</v>
      </c>
      <c r="AJ26" s="23" t="s">
        <v>155</v>
      </c>
      <c r="AK26" s="23" t="s">
        <v>155</v>
      </c>
      <c r="AL26" s="23" t="s">
        <v>155</v>
      </c>
      <c r="AM26" s="23" t="s">
        <v>155</v>
      </c>
      <c r="AN26" s="23" t="s">
        <v>155</v>
      </c>
      <c r="AO26" s="23" t="s">
        <v>155</v>
      </c>
      <c r="AP26" s="23" t="s">
        <v>155</v>
      </c>
      <c r="AQ26" s="23" t="s">
        <v>155</v>
      </c>
      <c r="AR26" s="23" t="s">
        <v>155</v>
      </c>
      <c r="AS26" s="23" t="s">
        <v>221</v>
      </c>
      <c r="AT26" s="37">
        <v>0.81</v>
      </c>
      <c r="AU26" s="23" t="s">
        <v>284</v>
      </c>
      <c r="AV26" s="23">
        <v>3</v>
      </c>
      <c r="AW26" s="23" t="s">
        <v>155</v>
      </c>
      <c r="AX26" s="21" t="s">
        <v>19</v>
      </c>
      <c r="AY26" s="24" t="s">
        <v>137</v>
      </c>
    </row>
    <row r="27" spans="1:51" x14ac:dyDescent="0.25">
      <c r="A27" s="21" t="s">
        <v>109</v>
      </c>
      <c r="B27" s="21" t="s">
        <v>181</v>
      </c>
      <c r="C27" s="21" t="s">
        <v>60</v>
      </c>
      <c r="D27" s="21" t="s">
        <v>56</v>
      </c>
      <c r="E27" s="22" t="s">
        <v>53</v>
      </c>
      <c r="F27" s="21" t="s">
        <v>122</v>
      </c>
      <c r="G27" s="21" t="s">
        <v>160</v>
      </c>
      <c r="H27" s="65">
        <v>2018</v>
      </c>
      <c r="I27" s="21" t="s">
        <v>73</v>
      </c>
      <c r="J27" s="21" t="s">
        <v>16</v>
      </c>
      <c r="K27" s="21" t="s">
        <v>32</v>
      </c>
      <c r="L27" s="21" t="s">
        <v>155</v>
      </c>
      <c r="M27" s="21" t="s">
        <v>33</v>
      </c>
      <c r="N27" s="57" t="s">
        <v>265</v>
      </c>
      <c r="O27" s="21" t="s">
        <v>61</v>
      </c>
      <c r="P27" s="47" t="s">
        <v>145</v>
      </c>
      <c r="Q27" s="71" t="s">
        <v>156</v>
      </c>
      <c r="R27" s="23" t="s">
        <v>216</v>
      </c>
      <c r="S27" s="23" t="s">
        <v>273</v>
      </c>
      <c r="T27" s="23" t="s">
        <v>215</v>
      </c>
      <c r="U27" s="23" t="s">
        <v>155</v>
      </c>
      <c r="V27" s="47" t="s">
        <v>240</v>
      </c>
      <c r="W27" s="47" t="s">
        <v>279</v>
      </c>
      <c r="X27" s="23" t="s">
        <v>156</v>
      </c>
      <c r="Y27" s="23" t="s">
        <v>155</v>
      </c>
      <c r="Z27" s="23" t="s">
        <v>156</v>
      </c>
      <c r="AA27" s="47" t="s">
        <v>279</v>
      </c>
      <c r="AB27" s="23" t="s">
        <v>155</v>
      </c>
      <c r="AC27" s="23" t="s">
        <v>155</v>
      </c>
      <c r="AD27" s="23" t="s">
        <v>156</v>
      </c>
      <c r="AE27" s="23" t="s">
        <v>156</v>
      </c>
      <c r="AF27" s="23" t="s">
        <v>155</v>
      </c>
      <c r="AG27" s="23" t="s">
        <v>156</v>
      </c>
      <c r="AH27" s="23" t="s">
        <v>156</v>
      </c>
      <c r="AI27" s="23" t="s">
        <v>155</v>
      </c>
      <c r="AJ27" s="23" t="s">
        <v>155</v>
      </c>
      <c r="AK27" s="23" t="s">
        <v>155</v>
      </c>
      <c r="AL27" s="23" t="s">
        <v>155</v>
      </c>
      <c r="AM27" s="23" t="s">
        <v>155</v>
      </c>
      <c r="AN27" s="23" t="s">
        <v>155</v>
      </c>
      <c r="AO27" s="23" t="s">
        <v>155</v>
      </c>
      <c r="AP27" s="23" t="s">
        <v>155</v>
      </c>
      <c r="AQ27" s="23" t="s">
        <v>155</v>
      </c>
      <c r="AR27" s="23" t="s">
        <v>155</v>
      </c>
      <c r="AS27" s="23" t="s">
        <v>221</v>
      </c>
      <c r="AT27" s="37">
        <v>0.95</v>
      </c>
      <c r="AU27" s="23" t="s">
        <v>284</v>
      </c>
      <c r="AV27" s="23">
        <v>1</v>
      </c>
      <c r="AW27" s="23" t="s">
        <v>155</v>
      </c>
      <c r="AX27" s="21" t="s">
        <v>19</v>
      </c>
      <c r="AY27" s="24" t="s">
        <v>139</v>
      </c>
    </row>
    <row r="28" spans="1:51" x14ac:dyDescent="0.25">
      <c r="A28" s="21" t="s">
        <v>109</v>
      </c>
      <c r="B28" s="21" t="s">
        <v>181</v>
      </c>
      <c r="C28" s="21" t="s">
        <v>75</v>
      </c>
      <c r="D28" s="21" t="s">
        <v>56</v>
      </c>
      <c r="E28" s="22" t="s">
        <v>53</v>
      </c>
      <c r="F28" s="21" t="s">
        <v>122</v>
      </c>
      <c r="G28" s="21" t="s">
        <v>160</v>
      </c>
      <c r="H28" s="65">
        <v>2018</v>
      </c>
      <c r="I28" s="21" t="s">
        <v>73</v>
      </c>
      <c r="J28" s="21" t="s">
        <v>16</v>
      </c>
      <c r="K28" s="21" t="s">
        <v>32</v>
      </c>
      <c r="L28" s="21" t="s">
        <v>155</v>
      </c>
      <c r="M28" s="21" t="s">
        <v>33</v>
      </c>
      <c r="N28" s="57" t="s">
        <v>265</v>
      </c>
      <c r="O28" s="21" t="s">
        <v>61</v>
      </c>
      <c r="P28" s="47" t="s">
        <v>145</v>
      </c>
      <c r="Q28" s="71" t="s">
        <v>156</v>
      </c>
      <c r="R28" s="23" t="s">
        <v>216</v>
      </c>
      <c r="S28" s="23" t="s">
        <v>273</v>
      </c>
      <c r="T28" s="23" t="s">
        <v>215</v>
      </c>
      <c r="U28" s="23" t="s">
        <v>155</v>
      </c>
      <c r="V28" s="47" t="s">
        <v>240</v>
      </c>
      <c r="W28" s="47" t="s">
        <v>279</v>
      </c>
      <c r="X28" s="23" t="s">
        <v>156</v>
      </c>
      <c r="Y28" s="23" t="s">
        <v>155</v>
      </c>
      <c r="Z28" s="23" t="s">
        <v>156</v>
      </c>
      <c r="AA28" s="47" t="s">
        <v>279</v>
      </c>
      <c r="AB28" s="23" t="s">
        <v>155</v>
      </c>
      <c r="AC28" s="23" t="s">
        <v>155</v>
      </c>
      <c r="AD28" s="23" t="s">
        <v>156</v>
      </c>
      <c r="AE28" s="23" t="s">
        <v>156</v>
      </c>
      <c r="AF28" s="23" t="s">
        <v>155</v>
      </c>
      <c r="AG28" s="23" t="s">
        <v>156</v>
      </c>
      <c r="AH28" s="23" t="s">
        <v>156</v>
      </c>
      <c r="AI28" s="23" t="s">
        <v>155</v>
      </c>
      <c r="AJ28" s="23" t="s">
        <v>155</v>
      </c>
      <c r="AK28" s="23" t="s">
        <v>155</v>
      </c>
      <c r="AL28" s="23" t="s">
        <v>155</v>
      </c>
      <c r="AM28" s="23" t="s">
        <v>155</v>
      </c>
      <c r="AN28" s="23" t="s">
        <v>155</v>
      </c>
      <c r="AO28" s="23" t="s">
        <v>155</v>
      </c>
      <c r="AP28" s="23" t="s">
        <v>155</v>
      </c>
      <c r="AQ28" s="23" t="s">
        <v>155</v>
      </c>
      <c r="AR28" s="23" t="s">
        <v>155</v>
      </c>
      <c r="AS28" s="23" t="s">
        <v>221</v>
      </c>
      <c r="AT28" s="37">
        <v>0.95</v>
      </c>
      <c r="AU28" s="23" t="s">
        <v>284</v>
      </c>
      <c r="AV28" s="23">
        <v>1</v>
      </c>
      <c r="AW28" s="23" t="s">
        <v>155</v>
      </c>
      <c r="AX28" s="21" t="s">
        <v>19</v>
      </c>
      <c r="AY28" s="24" t="s">
        <v>139</v>
      </c>
    </row>
    <row r="29" spans="1:51" x14ac:dyDescent="0.25">
      <c r="A29" s="2" t="s">
        <v>117</v>
      </c>
      <c r="B29" s="2" t="s">
        <v>182</v>
      </c>
      <c r="C29" s="2" t="s">
        <v>66</v>
      </c>
      <c r="D29" s="2" t="s">
        <v>68</v>
      </c>
      <c r="E29" s="3" t="s">
        <v>13</v>
      </c>
      <c r="F29" s="4" t="s">
        <v>120</v>
      </c>
      <c r="G29" s="4" t="s">
        <v>160</v>
      </c>
      <c r="H29" s="63">
        <v>2014</v>
      </c>
      <c r="I29" s="2" t="s">
        <v>21</v>
      </c>
      <c r="J29" s="2" t="s">
        <v>150</v>
      </c>
      <c r="K29" s="31" t="s">
        <v>8</v>
      </c>
      <c r="L29" s="31" t="s">
        <v>156</v>
      </c>
      <c r="M29" s="32" t="s">
        <v>9</v>
      </c>
      <c r="N29" s="32" t="s">
        <v>265</v>
      </c>
      <c r="O29" s="2" t="s">
        <v>67</v>
      </c>
      <c r="P29" s="45" t="s">
        <v>146</v>
      </c>
      <c r="Q29" s="45" t="s">
        <v>155</v>
      </c>
      <c r="R29" s="8" t="s">
        <v>225</v>
      </c>
      <c r="S29" s="8" t="s">
        <v>271</v>
      </c>
      <c r="T29" s="8" t="s">
        <v>241</v>
      </c>
      <c r="U29" s="8" t="s">
        <v>155</v>
      </c>
      <c r="V29" s="45" t="s">
        <v>242</v>
      </c>
      <c r="W29" s="45" t="s">
        <v>277</v>
      </c>
      <c r="X29" s="8" t="s">
        <v>155</v>
      </c>
      <c r="Y29" s="8" t="s">
        <v>155</v>
      </c>
      <c r="Z29" s="8" t="s">
        <v>156</v>
      </c>
      <c r="AA29" s="45" t="s">
        <v>279</v>
      </c>
      <c r="AB29" s="8" t="s">
        <v>155</v>
      </c>
      <c r="AC29" s="8" t="s">
        <v>155</v>
      </c>
      <c r="AD29" s="8" t="s">
        <v>155</v>
      </c>
      <c r="AE29" s="8" t="s">
        <v>156</v>
      </c>
      <c r="AF29" s="8" t="s">
        <v>155</v>
      </c>
      <c r="AG29" s="8" t="s">
        <v>155</v>
      </c>
      <c r="AH29" s="8" t="s">
        <v>156</v>
      </c>
      <c r="AI29" s="8" t="s">
        <v>156</v>
      </c>
      <c r="AJ29" s="8" t="s">
        <v>155</v>
      </c>
      <c r="AK29" s="8" t="s">
        <v>155</v>
      </c>
      <c r="AL29" s="8" t="s">
        <v>155</v>
      </c>
      <c r="AM29" s="8" t="s">
        <v>156</v>
      </c>
      <c r="AN29" s="8" t="s">
        <v>156</v>
      </c>
      <c r="AO29" s="8" t="s">
        <v>156</v>
      </c>
      <c r="AP29" s="8" t="s">
        <v>156</v>
      </c>
      <c r="AQ29" s="8" t="s">
        <v>155</v>
      </c>
      <c r="AR29" s="8" t="s">
        <v>155</v>
      </c>
      <c r="AS29" s="8" t="s">
        <v>221</v>
      </c>
      <c r="AT29" s="34">
        <v>0.83</v>
      </c>
      <c r="AU29" s="8" t="s">
        <v>284</v>
      </c>
      <c r="AV29" s="8">
        <v>3</v>
      </c>
      <c r="AW29" s="8" t="s">
        <v>155</v>
      </c>
      <c r="AX29" s="2" t="s">
        <v>140</v>
      </c>
      <c r="AY29" s="9" t="s">
        <v>163</v>
      </c>
    </row>
    <row r="30" spans="1:51" x14ac:dyDescent="0.25">
      <c r="A30" s="10" t="s">
        <v>114</v>
      </c>
      <c r="B30" s="10" t="s">
        <v>183</v>
      </c>
      <c r="C30" s="10" t="s">
        <v>62</v>
      </c>
      <c r="D30" s="10" t="s">
        <v>56</v>
      </c>
      <c r="E30" s="18" t="s">
        <v>53</v>
      </c>
      <c r="F30" s="10" t="s">
        <v>122</v>
      </c>
      <c r="G30" s="10" t="s">
        <v>160</v>
      </c>
      <c r="H30" s="64">
        <v>2010</v>
      </c>
      <c r="I30" s="10" t="s">
        <v>73</v>
      </c>
      <c r="J30" s="10" t="s">
        <v>16</v>
      </c>
      <c r="K30" s="19" t="s">
        <v>32</v>
      </c>
      <c r="L30" s="19" t="s">
        <v>155</v>
      </c>
      <c r="M30" s="19" t="s">
        <v>33</v>
      </c>
      <c r="N30" s="58" t="s">
        <v>265</v>
      </c>
      <c r="O30" s="10" t="s">
        <v>29</v>
      </c>
      <c r="P30" s="48" t="s">
        <v>145</v>
      </c>
      <c r="Q30" s="48" t="s">
        <v>156</v>
      </c>
      <c r="R30" s="20" t="s">
        <v>233</v>
      </c>
      <c r="S30" s="20" t="s">
        <v>270</v>
      </c>
      <c r="T30" s="20" t="s">
        <v>110</v>
      </c>
      <c r="U30" s="20" t="s">
        <v>156</v>
      </c>
      <c r="V30" s="48" t="s">
        <v>243</v>
      </c>
      <c r="W30" s="48" t="s">
        <v>278</v>
      </c>
      <c r="X30" s="20" t="s">
        <v>155</v>
      </c>
      <c r="Y30" s="12" t="s">
        <v>155</v>
      </c>
      <c r="Z30" s="12" t="s">
        <v>156</v>
      </c>
      <c r="AA30" s="46" t="s">
        <v>279</v>
      </c>
      <c r="AB30" s="12" t="s">
        <v>155</v>
      </c>
      <c r="AC30" s="12" t="s">
        <v>156</v>
      </c>
      <c r="AD30" s="12" t="s">
        <v>156</v>
      </c>
      <c r="AE30" s="12" t="s">
        <v>156</v>
      </c>
      <c r="AF30" s="12" t="s">
        <v>155</v>
      </c>
      <c r="AG30" s="12" t="s">
        <v>155</v>
      </c>
      <c r="AH30" s="12" t="s">
        <v>155</v>
      </c>
      <c r="AI30" s="12" t="s">
        <v>155</v>
      </c>
      <c r="AJ30" s="12" t="s">
        <v>156</v>
      </c>
      <c r="AK30" s="12" t="s">
        <v>155</v>
      </c>
      <c r="AL30" s="12" t="s">
        <v>155</v>
      </c>
      <c r="AM30" s="12" t="s">
        <v>155</v>
      </c>
      <c r="AN30" s="12" t="s">
        <v>155</v>
      </c>
      <c r="AO30" s="12" t="s">
        <v>155</v>
      </c>
      <c r="AP30" s="12" t="s">
        <v>155</v>
      </c>
      <c r="AQ30" s="12" t="s">
        <v>155</v>
      </c>
      <c r="AR30" s="12" t="s">
        <v>155</v>
      </c>
      <c r="AS30" s="12" t="s">
        <v>221</v>
      </c>
      <c r="AT30" s="35">
        <v>0.95</v>
      </c>
      <c r="AU30" s="20" t="s">
        <v>284</v>
      </c>
      <c r="AV30" s="20">
        <v>7</v>
      </c>
      <c r="AW30" s="20" t="s">
        <v>156</v>
      </c>
      <c r="AX30" s="19" t="s">
        <v>10</v>
      </c>
      <c r="AY30" s="13" t="s">
        <v>10</v>
      </c>
    </row>
    <row r="31" spans="1:51" x14ac:dyDescent="0.25">
      <c r="A31" s="21" t="s">
        <v>115</v>
      </c>
      <c r="B31" s="21" t="s">
        <v>184</v>
      </c>
      <c r="C31" s="21" t="s">
        <v>77</v>
      </c>
      <c r="D31" s="21" t="s">
        <v>56</v>
      </c>
      <c r="E31" s="22" t="s">
        <v>53</v>
      </c>
      <c r="F31" s="21" t="s">
        <v>122</v>
      </c>
      <c r="G31" s="21" t="s">
        <v>161</v>
      </c>
      <c r="H31" s="65">
        <v>2020</v>
      </c>
      <c r="I31" s="21" t="s">
        <v>21</v>
      </c>
      <c r="J31" s="21" t="s">
        <v>150</v>
      </c>
      <c r="K31" s="21" t="s">
        <v>8</v>
      </c>
      <c r="L31" s="21" t="s">
        <v>156</v>
      </c>
      <c r="M31" s="21" t="s">
        <v>9</v>
      </c>
      <c r="N31" s="57" t="s">
        <v>265</v>
      </c>
      <c r="O31" s="21" t="s">
        <v>29</v>
      </c>
      <c r="P31" s="47" t="s">
        <v>145</v>
      </c>
      <c r="Q31" s="47" t="s">
        <v>156</v>
      </c>
      <c r="R31" s="23" t="s">
        <v>245</v>
      </c>
      <c r="S31" s="23" t="s">
        <v>270</v>
      </c>
      <c r="T31" s="23" t="s">
        <v>244</v>
      </c>
      <c r="U31" s="23" t="s">
        <v>155</v>
      </c>
      <c r="V31" s="47" t="s">
        <v>246</v>
      </c>
      <c r="W31" s="47" t="s">
        <v>280</v>
      </c>
      <c r="X31" s="23" t="s">
        <v>155</v>
      </c>
      <c r="Y31" s="23" t="s">
        <v>155</v>
      </c>
      <c r="Z31" s="23" t="s">
        <v>156</v>
      </c>
      <c r="AA31" s="47" t="s">
        <v>279</v>
      </c>
      <c r="AB31" s="23" t="s">
        <v>155</v>
      </c>
      <c r="AC31" s="23" t="s">
        <v>155</v>
      </c>
      <c r="AD31" s="23" t="s">
        <v>155</v>
      </c>
      <c r="AE31" s="23" t="s">
        <v>156</v>
      </c>
      <c r="AF31" s="23" t="s">
        <v>155</v>
      </c>
      <c r="AG31" s="23" t="s">
        <v>155</v>
      </c>
      <c r="AH31" s="23" t="s">
        <v>155</v>
      </c>
      <c r="AI31" s="23" t="s">
        <v>156</v>
      </c>
      <c r="AJ31" s="23" t="s">
        <v>155</v>
      </c>
      <c r="AK31" s="23" t="s">
        <v>155</v>
      </c>
      <c r="AL31" s="23" t="s">
        <v>155</v>
      </c>
      <c r="AM31" s="23" t="s">
        <v>155</v>
      </c>
      <c r="AN31" s="23" t="s">
        <v>155</v>
      </c>
      <c r="AO31" s="23" t="s">
        <v>155</v>
      </c>
      <c r="AP31" s="23" t="s">
        <v>155</v>
      </c>
      <c r="AQ31" s="23" t="s">
        <v>155</v>
      </c>
      <c r="AR31" s="23" t="s">
        <v>155</v>
      </c>
      <c r="AS31" s="23" t="s">
        <v>221</v>
      </c>
      <c r="AT31" s="37">
        <v>0.99</v>
      </c>
      <c r="AU31" s="23" t="s">
        <v>284</v>
      </c>
      <c r="AV31" s="23">
        <v>2</v>
      </c>
      <c r="AW31" s="23" t="s">
        <v>155</v>
      </c>
      <c r="AX31" s="21" t="s">
        <v>19</v>
      </c>
      <c r="AY31" s="24" t="s">
        <v>141</v>
      </c>
    </row>
    <row r="32" spans="1:51" x14ac:dyDescent="0.25">
      <c r="A32" s="21" t="s">
        <v>115</v>
      </c>
      <c r="B32" s="21" t="s">
        <v>184</v>
      </c>
      <c r="C32" s="21" t="s">
        <v>78</v>
      </c>
      <c r="D32" s="21" t="s">
        <v>56</v>
      </c>
      <c r="E32" s="22" t="s">
        <v>53</v>
      </c>
      <c r="F32" s="21" t="s">
        <v>122</v>
      </c>
      <c r="G32" s="21" t="s">
        <v>161</v>
      </c>
      <c r="H32" s="65">
        <v>2020</v>
      </c>
      <c r="I32" s="21" t="s">
        <v>21</v>
      </c>
      <c r="J32" s="21" t="s">
        <v>150</v>
      </c>
      <c r="K32" s="21" t="s">
        <v>8</v>
      </c>
      <c r="L32" s="21" t="s">
        <v>156</v>
      </c>
      <c r="M32" s="21" t="s">
        <v>9</v>
      </c>
      <c r="N32" s="57" t="s">
        <v>265</v>
      </c>
      <c r="O32" s="21" t="s">
        <v>29</v>
      </c>
      <c r="P32" s="47" t="s">
        <v>145</v>
      </c>
      <c r="Q32" s="47" t="s">
        <v>156</v>
      </c>
      <c r="R32" s="23" t="s">
        <v>245</v>
      </c>
      <c r="S32" s="23" t="s">
        <v>270</v>
      </c>
      <c r="T32" s="23" t="s">
        <v>244</v>
      </c>
      <c r="U32" s="23" t="s">
        <v>155</v>
      </c>
      <c r="V32" s="47" t="s">
        <v>246</v>
      </c>
      <c r="W32" s="47" t="s">
        <v>280</v>
      </c>
      <c r="X32" s="23" t="s">
        <v>155</v>
      </c>
      <c r="Y32" s="23" t="s">
        <v>155</v>
      </c>
      <c r="Z32" s="23" t="s">
        <v>156</v>
      </c>
      <c r="AA32" s="47" t="s">
        <v>279</v>
      </c>
      <c r="AB32" s="23" t="s">
        <v>155</v>
      </c>
      <c r="AC32" s="23" t="s">
        <v>155</v>
      </c>
      <c r="AD32" s="23" t="s">
        <v>155</v>
      </c>
      <c r="AE32" s="23" t="s">
        <v>156</v>
      </c>
      <c r="AF32" s="23" t="s">
        <v>155</v>
      </c>
      <c r="AG32" s="23" t="s">
        <v>155</v>
      </c>
      <c r="AH32" s="23" t="s">
        <v>155</v>
      </c>
      <c r="AI32" s="23" t="s">
        <v>156</v>
      </c>
      <c r="AJ32" s="23" t="s">
        <v>155</v>
      </c>
      <c r="AK32" s="23" t="s">
        <v>155</v>
      </c>
      <c r="AL32" s="23" t="s">
        <v>155</v>
      </c>
      <c r="AM32" s="23" t="s">
        <v>155</v>
      </c>
      <c r="AN32" s="23" t="s">
        <v>155</v>
      </c>
      <c r="AO32" s="23" t="s">
        <v>155</v>
      </c>
      <c r="AP32" s="23" t="s">
        <v>155</v>
      </c>
      <c r="AQ32" s="23" t="s">
        <v>155</v>
      </c>
      <c r="AR32" s="23" t="s">
        <v>155</v>
      </c>
      <c r="AS32" s="23" t="s">
        <v>221</v>
      </c>
      <c r="AT32" s="37">
        <v>0.8</v>
      </c>
      <c r="AU32" s="23" t="s">
        <v>284</v>
      </c>
      <c r="AV32" s="23">
        <v>2</v>
      </c>
      <c r="AW32" s="23" t="s">
        <v>155</v>
      </c>
      <c r="AX32" s="21" t="s">
        <v>19</v>
      </c>
      <c r="AY32" s="24" t="s">
        <v>141</v>
      </c>
    </row>
    <row r="33" spans="1:51" x14ac:dyDescent="0.25">
      <c r="A33" s="21" t="s">
        <v>115</v>
      </c>
      <c r="B33" s="21" t="s">
        <v>184</v>
      </c>
      <c r="C33" s="21" t="s">
        <v>76</v>
      </c>
      <c r="D33" s="21" t="s">
        <v>56</v>
      </c>
      <c r="E33" s="22" t="s">
        <v>53</v>
      </c>
      <c r="F33" s="21" t="s">
        <v>122</v>
      </c>
      <c r="G33" s="21" t="s">
        <v>160</v>
      </c>
      <c r="H33" s="65">
        <v>2019</v>
      </c>
      <c r="I33" s="21" t="s">
        <v>21</v>
      </c>
      <c r="J33" s="21" t="s">
        <v>150</v>
      </c>
      <c r="K33" s="21" t="s">
        <v>8</v>
      </c>
      <c r="L33" s="21" t="s">
        <v>156</v>
      </c>
      <c r="M33" s="21" t="s">
        <v>63</v>
      </c>
      <c r="N33" s="57" t="s">
        <v>265</v>
      </c>
      <c r="O33" s="21" t="s">
        <v>29</v>
      </c>
      <c r="P33" s="47" t="s">
        <v>145</v>
      </c>
      <c r="Q33" s="47" t="s">
        <v>156</v>
      </c>
      <c r="R33" s="23" t="s">
        <v>245</v>
      </c>
      <c r="S33" s="23" t="s">
        <v>270</v>
      </c>
      <c r="T33" s="23" t="s">
        <v>244</v>
      </c>
      <c r="U33" s="23" t="s">
        <v>155</v>
      </c>
      <c r="V33" s="47" t="s">
        <v>246</v>
      </c>
      <c r="W33" s="47" t="s">
        <v>280</v>
      </c>
      <c r="X33" s="23" t="s">
        <v>155</v>
      </c>
      <c r="Y33" s="23" t="s">
        <v>155</v>
      </c>
      <c r="Z33" s="23" t="s">
        <v>156</v>
      </c>
      <c r="AA33" s="47" t="s">
        <v>279</v>
      </c>
      <c r="AB33" s="23" t="s">
        <v>155</v>
      </c>
      <c r="AC33" s="23" t="s">
        <v>155</v>
      </c>
      <c r="AD33" s="23" t="s">
        <v>155</v>
      </c>
      <c r="AE33" s="23" t="s">
        <v>156</v>
      </c>
      <c r="AF33" s="23" t="s">
        <v>155</v>
      </c>
      <c r="AG33" s="23" t="s">
        <v>155</v>
      </c>
      <c r="AH33" s="23" t="s">
        <v>155</v>
      </c>
      <c r="AI33" s="23" t="s">
        <v>156</v>
      </c>
      <c r="AJ33" s="23" t="s">
        <v>155</v>
      </c>
      <c r="AK33" s="23" t="s">
        <v>155</v>
      </c>
      <c r="AL33" s="23" t="s">
        <v>155</v>
      </c>
      <c r="AM33" s="23" t="s">
        <v>155</v>
      </c>
      <c r="AN33" s="23" t="s">
        <v>155</v>
      </c>
      <c r="AO33" s="23" t="s">
        <v>155</v>
      </c>
      <c r="AP33" s="23" t="s">
        <v>155</v>
      </c>
      <c r="AQ33" s="23" t="s">
        <v>155</v>
      </c>
      <c r="AR33" s="23" t="s">
        <v>155</v>
      </c>
      <c r="AS33" s="23" t="s">
        <v>221</v>
      </c>
      <c r="AT33" s="37">
        <v>0.94</v>
      </c>
      <c r="AU33" s="23" t="s">
        <v>284</v>
      </c>
      <c r="AV33" s="23">
        <v>2</v>
      </c>
      <c r="AW33" s="23" t="s">
        <v>155</v>
      </c>
      <c r="AX33" s="21" t="s">
        <v>19</v>
      </c>
      <c r="AY33" s="24" t="s">
        <v>141</v>
      </c>
    </row>
    <row r="34" spans="1:51" x14ac:dyDescent="0.25">
      <c r="A34" s="25" t="s">
        <v>116</v>
      </c>
      <c r="B34" s="25" t="s">
        <v>185</v>
      </c>
      <c r="C34" s="25" t="s">
        <v>64</v>
      </c>
      <c r="D34" s="25" t="s">
        <v>56</v>
      </c>
      <c r="E34" s="26" t="s">
        <v>53</v>
      </c>
      <c r="F34" s="25" t="s">
        <v>122</v>
      </c>
      <c r="G34" s="25" t="s">
        <v>160</v>
      </c>
      <c r="H34" s="66">
        <v>2019</v>
      </c>
      <c r="I34" s="25" t="s">
        <v>21</v>
      </c>
      <c r="J34" s="25" t="s">
        <v>150</v>
      </c>
      <c r="K34" s="25" t="s">
        <v>8</v>
      </c>
      <c r="L34" s="25" t="s">
        <v>156</v>
      </c>
      <c r="M34" s="25" t="s">
        <v>63</v>
      </c>
      <c r="N34" s="59" t="s">
        <v>265</v>
      </c>
      <c r="O34" s="25" t="s">
        <v>65</v>
      </c>
      <c r="P34" s="49" t="s">
        <v>146</v>
      </c>
      <c r="Q34" s="49" t="s">
        <v>156</v>
      </c>
      <c r="R34" s="27" t="s">
        <v>245</v>
      </c>
      <c r="S34" s="27" t="s">
        <v>270</v>
      </c>
      <c r="T34" s="27" t="s">
        <v>196</v>
      </c>
      <c r="U34" s="27" t="s">
        <v>156</v>
      </c>
      <c r="V34" s="49" t="s">
        <v>249</v>
      </c>
      <c r="W34" s="49" t="s">
        <v>280</v>
      </c>
      <c r="X34" s="27" t="s">
        <v>155</v>
      </c>
      <c r="Y34" s="27" t="s">
        <v>156</v>
      </c>
      <c r="Z34" s="27" t="s">
        <v>155</v>
      </c>
      <c r="AA34" s="49" t="s">
        <v>218</v>
      </c>
      <c r="AB34" s="27" t="s">
        <v>155</v>
      </c>
      <c r="AC34" s="27" t="s">
        <v>155</v>
      </c>
      <c r="AD34" s="27" t="s">
        <v>155</v>
      </c>
      <c r="AE34" s="27" t="s">
        <v>155</v>
      </c>
      <c r="AF34" s="27" t="s">
        <v>155</v>
      </c>
      <c r="AG34" s="27" t="s">
        <v>155</v>
      </c>
      <c r="AH34" s="27" t="s">
        <v>155</v>
      </c>
      <c r="AI34" s="27" t="s">
        <v>156</v>
      </c>
      <c r="AJ34" s="27" t="s">
        <v>155</v>
      </c>
      <c r="AK34" s="27" t="s">
        <v>155</v>
      </c>
      <c r="AL34" s="27" t="s">
        <v>155</v>
      </c>
      <c r="AM34" s="27" t="s">
        <v>155</v>
      </c>
      <c r="AN34" s="27" t="s">
        <v>156</v>
      </c>
      <c r="AO34" s="27" t="s">
        <v>156</v>
      </c>
      <c r="AP34" s="27" t="s">
        <v>156</v>
      </c>
      <c r="AQ34" s="27" t="s">
        <v>155</v>
      </c>
      <c r="AR34" s="27" t="s">
        <v>155</v>
      </c>
      <c r="AS34" s="27" t="s">
        <v>221</v>
      </c>
      <c r="AT34" s="38">
        <v>0.99</v>
      </c>
      <c r="AU34" s="27" t="s">
        <v>283</v>
      </c>
      <c r="AV34" s="27">
        <v>5</v>
      </c>
      <c r="AW34" s="27" t="s">
        <v>155</v>
      </c>
      <c r="AX34" s="28" t="s">
        <v>19</v>
      </c>
      <c r="AY34" s="40" t="s">
        <v>142</v>
      </c>
    </row>
    <row r="35" spans="1:51" x14ac:dyDescent="0.25">
      <c r="A35" s="25" t="s">
        <v>116</v>
      </c>
      <c r="B35" s="25" t="s">
        <v>185</v>
      </c>
      <c r="C35" s="25" t="s">
        <v>79</v>
      </c>
      <c r="D35" s="25" t="s">
        <v>56</v>
      </c>
      <c r="E35" s="26" t="s">
        <v>53</v>
      </c>
      <c r="F35" s="25" t="s">
        <v>122</v>
      </c>
      <c r="G35" s="25" t="s">
        <v>160</v>
      </c>
      <c r="H35" s="66">
        <v>2019</v>
      </c>
      <c r="I35" s="25" t="s">
        <v>21</v>
      </c>
      <c r="J35" s="25" t="s">
        <v>150</v>
      </c>
      <c r="K35" s="25" t="s">
        <v>8</v>
      </c>
      <c r="L35" s="25" t="s">
        <v>156</v>
      </c>
      <c r="M35" s="25" t="s">
        <v>9</v>
      </c>
      <c r="N35" s="59" t="s">
        <v>265</v>
      </c>
      <c r="O35" s="25" t="s">
        <v>65</v>
      </c>
      <c r="P35" s="49" t="s">
        <v>146</v>
      </c>
      <c r="Q35" s="49" t="s">
        <v>156</v>
      </c>
      <c r="R35" s="27" t="s">
        <v>245</v>
      </c>
      <c r="S35" s="27" t="s">
        <v>270</v>
      </c>
      <c r="T35" s="27" t="s">
        <v>196</v>
      </c>
      <c r="U35" s="27" t="s">
        <v>156</v>
      </c>
      <c r="V35" s="49" t="s">
        <v>249</v>
      </c>
      <c r="W35" s="49" t="s">
        <v>280</v>
      </c>
      <c r="X35" s="27" t="s">
        <v>155</v>
      </c>
      <c r="Y35" s="27" t="s">
        <v>156</v>
      </c>
      <c r="Z35" s="27" t="s">
        <v>155</v>
      </c>
      <c r="AA35" s="49" t="s">
        <v>247</v>
      </c>
      <c r="AB35" s="27" t="s">
        <v>155</v>
      </c>
      <c r="AC35" s="27" t="s">
        <v>155</v>
      </c>
      <c r="AD35" s="27" t="s">
        <v>155</v>
      </c>
      <c r="AE35" s="27" t="s">
        <v>155</v>
      </c>
      <c r="AF35" s="27" t="s">
        <v>155</v>
      </c>
      <c r="AG35" s="27" t="s">
        <v>155</v>
      </c>
      <c r="AH35" s="27" t="s">
        <v>155</v>
      </c>
      <c r="AI35" s="27" t="s">
        <v>156</v>
      </c>
      <c r="AJ35" s="27" t="s">
        <v>155</v>
      </c>
      <c r="AK35" s="27" t="s">
        <v>155</v>
      </c>
      <c r="AL35" s="27" t="s">
        <v>155</v>
      </c>
      <c r="AM35" s="27" t="s">
        <v>155</v>
      </c>
      <c r="AN35" s="27" t="s">
        <v>156</v>
      </c>
      <c r="AO35" s="27" t="s">
        <v>156</v>
      </c>
      <c r="AP35" s="27" t="s">
        <v>156</v>
      </c>
      <c r="AQ35" s="27" t="s">
        <v>155</v>
      </c>
      <c r="AR35" s="27" t="s">
        <v>155</v>
      </c>
      <c r="AS35" s="27" t="s">
        <v>221</v>
      </c>
      <c r="AT35" s="38">
        <v>0.92</v>
      </c>
      <c r="AU35" s="27" t="s">
        <v>283</v>
      </c>
      <c r="AV35" s="27">
        <v>5</v>
      </c>
      <c r="AW35" s="27" t="s">
        <v>155</v>
      </c>
      <c r="AX35" s="28" t="s">
        <v>19</v>
      </c>
      <c r="AY35" s="40" t="s">
        <v>142</v>
      </c>
    </row>
    <row r="36" spans="1:51" x14ac:dyDescent="0.25">
      <c r="A36" s="2" t="s">
        <v>108</v>
      </c>
      <c r="B36" s="2" t="s">
        <v>186</v>
      </c>
      <c r="C36" s="2" t="s">
        <v>72</v>
      </c>
      <c r="D36" s="2" t="s">
        <v>71</v>
      </c>
      <c r="E36" s="3" t="s">
        <v>6</v>
      </c>
      <c r="F36" s="4" t="s">
        <v>120</v>
      </c>
      <c r="G36" s="4" t="s">
        <v>160</v>
      </c>
      <c r="H36" s="63">
        <v>2013</v>
      </c>
      <c r="I36" s="2" t="s">
        <v>16</v>
      </c>
      <c r="J36" s="2" t="s">
        <v>16</v>
      </c>
      <c r="K36" s="31" t="s">
        <v>47</v>
      </c>
      <c r="L36" s="31" t="s">
        <v>155</v>
      </c>
      <c r="M36" s="5" t="s">
        <v>28</v>
      </c>
      <c r="N36" s="31" t="s">
        <v>264</v>
      </c>
      <c r="O36" s="2" t="s">
        <v>29</v>
      </c>
      <c r="P36" s="45" t="s">
        <v>145</v>
      </c>
      <c r="Q36" s="45" t="s">
        <v>155</v>
      </c>
      <c r="R36" s="8" t="s">
        <v>251</v>
      </c>
      <c r="S36" s="8" t="s">
        <v>270</v>
      </c>
      <c r="T36" s="8" t="s">
        <v>250</v>
      </c>
      <c r="U36" s="8" t="s">
        <v>155</v>
      </c>
      <c r="V36" s="45" t="s">
        <v>252</v>
      </c>
      <c r="W36" s="45" t="s">
        <v>277</v>
      </c>
      <c r="X36" s="8" t="s">
        <v>155</v>
      </c>
      <c r="Y36" s="8" t="s">
        <v>155</v>
      </c>
      <c r="Z36" s="8" t="s">
        <v>155</v>
      </c>
      <c r="AA36" s="45" t="s">
        <v>279</v>
      </c>
      <c r="AB36" s="8" t="s">
        <v>155</v>
      </c>
      <c r="AC36" s="8" t="s">
        <v>155</v>
      </c>
      <c r="AD36" s="8" t="s">
        <v>155</v>
      </c>
      <c r="AE36" s="8" t="s">
        <v>155</v>
      </c>
      <c r="AF36" s="8" t="s">
        <v>155</v>
      </c>
      <c r="AG36" s="8" t="s">
        <v>155</v>
      </c>
      <c r="AH36" s="8" t="s">
        <v>155</v>
      </c>
      <c r="AI36" s="8" t="s">
        <v>155</v>
      </c>
      <c r="AJ36" s="8" t="s">
        <v>155</v>
      </c>
      <c r="AK36" s="8" t="s">
        <v>155</v>
      </c>
      <c r="AL36" s="8" t="s">
        <v>155</v>
      </c>
      <c r="AM36" s="8" t="s">
        <v>155</v>
      </c>
      <c r="AN36" s="8" t="s">
        <v>155</v>
      </c>
      <c r="AO36" s="8" t="s">
        <v>155</v>
      </c>
      <c r="AP36" s="8" t="s">
        <v>155</v>
      </c>
      <c r="AQ36" s="8" t="s">
        <v>155</v>
      </c>
      <c r="AR36" s="8" t="s">
        <v>155</v>
      </c>
      <c r="AS36" s="8" t="s">
        <v>221</v>
      </c>
      <c r="AT36" s="61" t="s">
        <v>10</v>
      </c>
      <c r="AU36" s="8" t="s">
        <v>284</v>
      </c>
      <c r="AV36" s="8">
        <v>1</v>
      </c>
      <c r="AW36" s="8" t="s">
        <v>155</v>
      </c>
      <c r="AX36" s="2" t="s">
        <v>19</v>
      </c>
      <c r="AY36" s="9" t="s">
        <v>143</v>
      </c>
    </row>
    <row r="37" spans="1:51" x14ac:dyDescent="0.25">
      <c r="A37" s="2" t="s">
        <v>85</v>
      </c>
      <c r="B37" s="2" t="s">
        <v>187</v>
      </c>
      <c r="C37" s="2" t="s">
        <v>15</v>
      </c>
      <c r="D37" s="2" t="s">
        <v>15</v>
      </c>
      <c r="E37" s="3" t="s">
        <v>13</v>
      </c>
      <c r="F37" s="4" t="s">
        <v>121</v>
      </c>
      <c r="G37" s="4" t="s">
        <v>161</v>
      </c>
      <c r="H37" s="63">
        <v>2022</v>
      </c>
      <c r="I37" s="2" t="s">
        <v>16</v>
      </c>
      <c r="J37" s="2" t="s">
        <v>16</v>
      </c>
      <c r="K37" s="4" t="s">
        <v>17</v>
      </c>
      <c r="L37" s="4" t="s">
        <v>155</v>
      </c>
      <c r="M37" s="4" t="s">
        <v>266</v>
      </c>
      <c r="N37" s="31" t="s">
        <v>265</v>
      </c>
      <c r="O37" s="2" t="s">
        <v>18</v>
      </c>
      <c r="P37" s="45" t="s">
        <v>145</v>
      </c>
      <c r="Q37" s="45" t="s">
        <v>156</v>
      </c>
      <c r="R37" s="8" t="s">
        <v>225</v>
      </c>
      <c r="S37" s="8" t="s">
        <v>271</v>
      </c>
      <c r="T37" s="8" t="s">
        <v>241</v>
      </c>
      <c r="U37" s="8" t="s">
        <v>155</v>
      </c>
      <c r="V37" s="45" t="s">
        <v>196</v>
      </c>
      <c r="W37" s="45" t="s">
        <v>279</v>
      </c>
      <c r="X37" s="8" t="s">
        <v>155</v>
      </c>
      <c r="Y37" s="8" t="s">
        <v>155</v>
      </c>
      <c r="Z37" s="8" t="s">
        <v>156</v>
      </c>
      <c r="AA37" s="45" t="s">
        <v>279</v>
      </c>
      <c r="AB37" s="8" t="s">
        <v>155</v>
      </c>
      <c r="AC37" s="8" t="s">
        <v>155</v>
      </c>
      <c r="AD37" s="8" t="s">
        <v>156</v>
      </c>
      <c r="AE37" s="8" t="s">
        <v>156</v>
      </c>
      <c r="AF37" s="8" t="s">
        <v>156</v>
      </c>
      <c r="AG37" s="8" t="s">
        <v>155</v>
      </c>
      <c r="AH37" s="8" t="s">
        <v>155</v>
      </c>
      <c r="AI37" s="8" t="s">
        <v>156</v>
      </c>
      <c r="AJ37" s="8" t="s">
        <v>155</v>
      </c>
      <c r="AK37" s="8" t="s">
        <v>155</v>
      </c>
      <c r="AL37" s="8" t="s">
        <v>156</v>
      </c>
      <c r="AM37" s="8" t="s">
        <v>156</v>
      </c>
      <c r="AN37" s="8" t="s">
        <v>155</v>
      </c>
      <c r="AO37" s="8" t="s">
        <v>156</v>
      </c>
      <c r="AP37" s="8" t="s">
        <v>156</v>
      </c>
      <c r="AQ37" s="8" t="s">
        <v>155</v>
      </c>
      <c r="AR37" s="8" t="s">
        <v>155</v>
      </c>
      <c r="AS37" s="8" t="s">
        <v>221</v>
      </c>
      <c r="AT37" s="34">
        <v>1</v>
      </c>
      <c r="AU37" s="8" t="s">
        <v>285</v>
      </c>
      <c r="AV37" s="8">
        <v>2</v>
      </c>
      <c r="AW37" s="8" t="s">
        <v>155</v>
      </c>
      <c r="AX37" s="2" t="s">
        <v>19</v>
      </c>
      <c r="AY37" s="9" t="s">
        <v>126</v>
      </c>
    </row>
    <row r="38" spans="1:51" x14ac:dyDescent="0.25">
      <c r="A38" s="2" t="s">
        <v>93</v>
      </c>
      <c r="B38" s="2" t="s">
        <v>188</v>
      </c>
      <c r="C38" s="2" t="s">
        <v>20</v>
      </c>
      <c r="D38" s="2" t="s">
        <v>15</v>
      </c>
      <c r="E38" s="3" t="s">
        <v>13</v>
      </c>
      <c r="F38" s="4" t="s">
        <v>121</v>
      </c>
      <c r="G38" s="4" t="s">
        <v>161</v>
      </c>
      <c r="H38" s="63">
        <v>2022</v>
      </c>
      <c r="I38" s="2" t="s">
        <v>21</v>
      </c>
      <c r="J38" s="2" t="s">
        <v>150</v>
      </c>
      <c r="K38" s="4" t="s">
        <v>22</v>
      </c>
      <c r="L38" s="4" t="s">
        <v>155</v>
      </c>
      <c r="M38" s="4" t="s">
        <v>33</v>
      </c>
      <c r="N38" s="31" t="s">
        <v>265</v>
      </c>
      <c r="O38" s="2" t="s">
        <v>18</v>
      </c>
      <c r="P38" s="45" t="s">
        <v>145</v>
      </c>
      <c r="Q38" s="45" t="s">
        <v>155</v>
      </c>
      <c r="R38" s="8" t="s">
        <v>225</v>
      </c>
      <c r="S38" s="8" t="s">
        <v>271</v>
      </c>
      <c r="T38" s="8" t="s">
        <v>253</v>
      </c>
      <c r="U38" s="8" t="s">
        <v>155</v>
      </c>
      <c r="V38" s="45" t="s">
        <v>254</v>
      </c>
      <c r="W38" s="45" t="s">
        <v>278</v>
      </c>
      <c r="X38" s="8" t="s">
        <v>155</v>
      </c>
      <c r="Y38" s="8" t="s">
        <v>155</v>
      </c>
      <c r="Z38" s="8" t="s">
        <v>156</v>
      </c>
      <c r="AA38" s="45" t="s">
        <v>279</v>
      </c>
      <c r="AB38" s="8" t="s">
        <v>155</v>
      </c>
      <c r="AC38" s="8" t="s">
        <v>155</v>
      </c>
      <c r="AD38" s="8" t="s">
        <v>155</v>
      </c>
      <c r="AE38" s="8" t="s">
        <v>156</v>
      </c>
      <c r="AF38" s="8" t="s">
        <v>155</v>
      </c>
      <c r="AG38" s="8" t="s">
        <v>155</v>
      </c>
      <c r="AH38" s="8" t="s">
        <v>155</v>
      </c>
      <c r="AI38" s="8" t="s">
        <v>155</v>
      </c>
      <c r="AJ38" s="8" t="s">
        <v>156</v>
      </c>
      <c r="AK38" s="8" t="s">
        <v>155</v>
      </c>
      <c r="AL38" s="8" t="s">
        <v>155</v>
      </c>
      <c r="AM38" s="8" t="s">
        <v>155</v>
      </c>
      <c r="AN38" s="8" t="s">
        <v>155</v>
      </c>
      <c r="AO38" s="8" t="s">
        <v>155</v>
      </c>
      <c r="AP38" s="8" t="s">
        <v>155</v>
      </c>
      <c r="AQ38" s="8" t="s">
        <v>155</v>
      </c>
      <c r="AR38" s="8" t="s">
        <v>155</v>
      </c>
      <c r="AS38" s="8" t="s">
        <v>221</v>
      </c>
      <c r="AT38" s="52">
        <f>1637/1638</f>
        <v>0.99938949938949939</v>
      </c>
      <c r="AU38" s="8" t="s">
        <v>284</v>
      </c>
      <c r="AV38" s="8">
        <v>1</v>
      </c>
      <c r="AW38" s="8" t="s">
        <v>155</v>
      </c>
      <c r="AX38" s="2" t="s">
        <v>127</v>
      </c>
      <c r="AY38" s="9" t="s">
        <v>125</v>
      </c>
    </row>
    <row r="39" spans="1:51" x14ac:dyDescent="0.25">
      <c r="A39" s="10" t="s">
        <v>129</v>
      </c>
      <c r="B39" s="10" t="s">
        <v>190</v>
      </c>
      <c r="C39" s="10" t="s">
        <v>133</v>
      </c>
      <c r="D39" s="10" t="s">
        <v>81</v>
      </c>
      <c r="E39" s="11" t="s">
        <v>13</v>
      </c>
      <c r="F39" s="10" t="s">
        <v>120</v>
      </c>
      <c r="G39" s="10" t="s">
        <v>161</v>
      </c>
      <c r="H39" s="64" t="s">
        <v>168</v>
      </c>
      <c r="I39" s="10" t="s">
        <v>36</v>
      </c>
      <c r="J39" s="10" t="s">
        <v>151</v>
      </c>
      <c r="K39" s="10" t="s">
        <v>54</v>
      </c>
      <c r="L39" s="10" t="s">
        <v>155</v>
      </c>
      <c r="M39" s="10" t="s">
        <v>55</v>
      </c>
      <c r="N39" s="56" t="s">
        <v>264</v>
      </c>
      <c r="O39" s="10" t="s">
        <v>132</v>
      </c>
      <c r="P39" s="46" t="s">
        <v>145</v>
      </c>
      <c r="Q39" s="46" t="s">
        <v>156</v>
      </c>
      <c r="R39" s="12" t="s">
        <v>228</v>
      </c>
      <c r="S39" s="12" t="s">
        <v>272</v>
      </c>
      <c r="T39" s="12" t="s">
        <v>196</v>
      </c>
      <c r="U39" s="12" t="s">
        <v>156</v>
      </c>
      <c r="V39" s="46" t="s">
        <v>255</v>
      </c>
      <c r="W39" s="46" t="s">
        <v>276</v>
      </c>
      <c r="X39" s="12" t="s">
        <v>155</v>
      </c>
      <c r="Y39" s="12" t="s">
        <v>156</v>
      </c>
      <c r="Z39" s="12" t="s">
        <v>155</v>
      </c>
      <c r="AA39" s="46" t="s">
        <v>279</v>
      </c>
      <c r="AB39" s="12" t="s">
        <v>155</v>
      </c>
      <c r="AC39" s="12" t="s">
        <v>155</v>
      </c>
      <c r="AD39" s="12" t="s">
        <v>155</v>
      </c>
      <c r="AE39" s="12" t="s">
        <v>156</v>
      </c>
      <c r="AF39" s="12" t="s">
        <v>156</v>
      </c>
      <c r="AG39" s="12" t="s">
        <v>156</v>
      </c>
      <c r="AH39" s="12" t="s">
        <v>156</v>
      </c>
      <c r="AI39" s="12" t="s">
        <v>156</v>
      </c>
      <c r="AJ39" s="12" t="s">
        <v>155</v>
      </c>
      <c r="AK39" s="12" t="s">
        <v>155</v>
      </c>
      <c r="AL39" s="12" t="s">
        <v>156</v>
      </c>
      <c r="AM39" s="12" t="s">
        <v>155</v>
      </c>
      <c r="AN39" s="12" t="s">
        <v>156</v>
      </c>
      <c r="AO39" s="12" t="s">
        <v>156</v>
      </c>
      <c r="AP39" s="12" t="s">
        <v>156</v>
      </c>
      <c r="AQ39" s="12" t="s">
        <v>156</v>
      </c>
      <c r="AR39" s="12" t="s">
        <v>155</v>
      </c>
      <c r="AS39" s="12" t="s">
        <v>221</v>
      </c>
      <c r="AT39" s="35">
        <f>99/147</f>
        <v>0.67346938775510201</v>
      </c>
      <c r="AU39" s="12" t="s">
        <v>286</v>
      </c>
      <c r="AV39" s="12">
        <v>2</v>
      </c>
      <c r="AW39" s="12" t="s">
        <v>156</v>
      </c>
      <c r="AX39" s="15" t="s">
        <v>10</v>
      </c>
      <c r="AY39" s="14" t="s">
        <v>130</v>
      </c>
    </row>
    <row r="40" spans="1:51" x14ac:dyDescent="0.25">
      <c r="A40" s="2" t="s">
        <v>96</v>
      </c>
      <c r="B40" s="2" t="s">
        <v>189</v>
      </c>
      <c r="C40" s="2" t="s">
        <v>39</v>
      </c>
      <c r="D40" s="2" t="s">
        <v>30</v>
      </c>
      <c r="E40" s="3" t="s">
        <v>6</v>
      </c>
      <c r="F40" s="4" t="s">
        <v>120</v>
      </c>
      <c r="G40" s="4" t="s">
        <v>161</v>
      </c>
      <c r="H40" s="63">
        <v>2020</v>
      </c>
      <c r="I40" s="2" t="s">
        <v>7</v>
      </c>
      <c r="J40" s="2" t="s">
        <v>150</v>
      </c>
      <c r="K40" s="4" t="s">
        <v>8</v>
      </c>
      <c r="L40" s="4" t="s">
        <v>156</v>
      </c>
      <c r="M40" s="4" t="s">
        <v>9</v>
      </c>
      <c r="N40" s="31" t="s">
        <v>265</v>
      </c>
      <c r="O40" s="2" t="s">
        <v>18</v>
      </c>
      <c r="P40" s="45" t="s">
        <v>145</v>
      </c>
      <c r="Q40" s="45" t="s">
        <v>156</v>
      </c>
      <c r="R40" s="8" t="s">
        <v>238</v>
      </c>
      <c r="S40" s="8" t="s">
        <v>270</v>
      </c>
      <c r="T40" s="8" t="s">
        <v>196</v>
      </c>
      <c r="U40" s="8" t="s">
        <v>156</v>
      </c>
      <c r="V40" s="45" t="s">
        <v>256</v>
      </c>
      <c r="W40" s="45" t="s">
        <v>278</v>
      </c>
      <c r="X40" s="8" t="s">
        <v>155</v>
      </c>
      <c r="Y40" s="8" t="s">
        <v>155</v>
      </c>
      <c r="Z40" s="8" t="s">
        <v>156</v>
      </c>
      <c r="AA40" s="45" t="s">
        <v>218</v>
      </c>
      <c r="AB40" s="8" t="s">
        <v>155</v>
      </c>
      <c r="AC40" s="8" t="s">
        <v>155</v>
      </c>
      <c r="AD40" s="8" t="s">
        <v>155</v>
      </c>
      <c r="AE40" s="8" t="s">
        <v>156</v>
      </c>
      <c r="AF40" s="8" t="s">
        <v>156</v>
      </c>
      <c r="AG40" s="8" t="s">
        <v>156</v>
      </c>
      <c r="AH40" s="8" t="s">
        <v>156</v>
      </c>
      <c r="AI40" s="8" t="s">
        <v>155</v>
      </c>
      <c r="AJ40" s="8" t="s">
        <v>156</v>
      </c>
      <c r="AK40" s="8" t="s">
        <v>155</v>
      </c>
      <c r="AL40" s="8" t="s">
        <v>155</v>
      </c>
      <c r="AM40" s="8" t="s">
        <v>155</v>
      </c>
      <c r="AN40" s="8" t="s">
        <v>156</v>
      </c>
      <c r="AO40" s="8" t="s">
        <v>156</v>
      </c>
      <c r="AP40" s="8" t="s">
        <v>155</v>
      </c>
      <c r="AQ40" s="8" t="s">
        <v>155</v>
      </c>
      <c r="AR40" s="8" t="s">
        <v>155</v>
      </c>
      <c r="AS40" s="8" t="s">
        <v>221</v>
      </c>
      <c r="AT40" s="34">
        <f>213/237</f>
        <v>0.89873417721518989</v>
      </c>
      <c r="AU40" s="8" t="s">
        <v>283</v>
      </c>
      <c r="AV40" s="8">
        <v>9</v>
      </c>
      <c r="AW40" s="8" t="s">
        <v>155</v>
      </c>
      <c r="AX40" s="2" t="s">
        <v>19</v>
      </c>
      <c r="AY40" s="9" t="s">
        <v>134</v>
      </c>
    </row>
    <row r="41" spans="1:51" x14ac:dyDescent="0.25">
      <c r="A41" s="10" t="s">
        <v>98</v>
      </c>
      <c r="B41" s="10" t="s">
        <v>191</v>
      </c>
      <c r="C41" s="10" t="s">
        <v>43</v>
      </c>
      <c r="D41" s="10" t="s">
        <v>81</v>
      </c>
      <c r="E41" s="11" t="s">
        <v>13</v>
      </c>
      <c r="F41" s="10" t="s">
        <v>120</v>
      </c>
      <c r="G41" s="10" t="s">
        <v>161</v>
      </c>
      <c r="H41" s="64">
        <v>2021</v>
      </c>
      <c r="I41" s="10" t="s">
        <v>73</v>
      </c>
      <c r="J41" s="10" t="s">
        <v>16</v>
      </c>
      <c r="K41" s="10" t="s">
        <v>8</v>
      </c>
      <c r="L41" s="10" t="s">
        <v>156</v>
      </c>
      <c r="M41" s="10" t="s">
        <v>9</v>
      </c>
      <c r="N41" s="56" t="s">
        <v>265</v>
      </c>
      <c r="O41" s="10" t="s">
        <v>44</v>
      </c>
      <c r="P41" s="46" t="s">
        <v>145</v>
      </c>
      <c r="Q41" s="46" t="s">
        <v>155</v>
      </c>
      <c r="R41" s="12" t="s">
        <v>258</v>
      </c>
      <c r="S41" s="12" t="s">
        <v>273</v>
      </c>
      <c r="T41" s="12" t="s">
        <v>257</v>
      </c>
      <c r="U41" s="12" t="s">
        <v>155</v>
      </c>
      <c r="V41" s="46" t="s">
        <v>259</v>
      </c>
      <c r="W41" s="46" t="s">
        <v>278</v>
      </c>
      <c r="X41" s="12" t="s">
        <v>155</v>
      </c>
      <c r="Y41" s="12" t="s">
        <v>155</v>
      </c>
      <c r="Z41" s="12" t="s">
        <v>156</v>
      </c>
      <c r="AA41" s="46" t="s">
        <v>279</v>
      </c>
      <c r="AB41" s="12" t="s">
        <v>155</v>
      </c>
      <c r="AC41" s="12" t="s">
        <v>155</v>
      </c>
      <c r="AD41" s="12" t="s">
        <v>155</v>
      </c>
      <c r="AE41" s="12" t="s">
        <v>156</v>
      </c>
      <c r="AF41" s="12" t="s">
        <v>155</v>
      </c>
      <c r="AG41" s="12" t="s">
        <v>155</v>
      </c>
      <c r="AH41" s="12" t="s">
        <v>155</v>
      </c>
      <c r="AI41" s="12" t="s">
        <v>155</v>
      </c>
      <c r="AJ41" s="12" t="s">
        <v>156</v>
      </c>
      <c r="AK41" s="12" t="s">
        <v>155</v>
      </c>
      <c r="AL41" s="12" t="s">
        <v>155</v>
      </c>
      <c r="AM41" s="12" t="s">
        <v>155</v>
      </c>
      <c r="AN41" s="12" t="s">
        <v>156</v>
      </c>
      <c r="AO41" s="12" t="s">
        <v>156</v>
      </c>
      <c r="AP41" s="12" t="s">
        <v>155</v>
      </c>
      <c r="AQ41" s="12" t="s">
        <v>155</v>
      </c>
      <c r="AR41" s="12" t="s">
        <v>155</v>
      </c>
      <c r="AS41" s="12" t="s">
        <v>221</v>
      </c>
      <c r="AT41" s="53">
        <v>0.85899999999999999</v>
      </c>
      <c r="AU41" s="12" t="s">
        <v>284</v>
      </c>
      <c r="AV41" s="12">
        <v>7</v>
      </c>
      <c r="AW41" s="12" t="s">
        <v>156</v>
      </c>
      <c r="AX41" s="15" t="s">
        <v>10</v>
      </c>
      <c r="AY41" s="14" t="s">
        <v>136</v>
      </c>
    </row>
    <row r="42" spans="1:51" x14ac:dyDescent="0.25">
      <c r="A42" s="2" t="s">
        <v>103</v>
      </c>
      <c r="B42" s="2" t="s">
        <v>192</v>
      </c>
      <c r="C42" s="2" t="s">
        <v>162</v>
      </c>
      <c r="D42" s="2" t="s">
        <v>193</v>
      </c>
      <c r="E42" s="3" t="s">
        <v>13</v>
      </c>
      <c r="F42" s="4" t="s">
        <v>120</v>
      </c>
      <c r="G42" s="4" t="s">
        <v>160</v>
      </c>
      <c r="H42" s="63">
        <v>2019</v>
      </c>
      <c r="I42" s="2" t="s">
        <v>21</v>
      </c>
      <c r="J42" s="2" t="s">
        <v>150</v>
      </c>
      <c r="K42" s="4" t="s">
        <v>22</v>
      </c>
      <c r="L42" s="4" t="s">
        <v>155</v>
      </c>
      <c r="M42" s="4" t="s">
        <v>33</v>
      </c>
      <c r="N42" s="31" t="s">
        <v>265</v>
      </c>
      <c r="O42" s="2" t="s">
        <v>51</v>
      </c>
      <c r="P42" s="45" t="s">
        <v>146</v>
      </c>
      <c r="Q42" s="45" t="s">
        <v>156</v>
      </c>
      <c r="R42" s="8" t="s">
        <v>262</v>
      </c>
      <c r="S42" s="8" t="s">
        <v>269</v>
      </c>
      <c r="T42" s="8" t="s">
        <v>260</v>
      </c>
      <c r="U42" s="8" t="s">
        <v>155</v>
      </c>
      <c r="V42" s="45" t="s">
        <v>261</v>
      </c>
      <c r="W42" s="45" t="s">
        <v>278</v>
      </c>
      <c r="X42" s="8" t="s">
        <v>155</v>
      </c>
      <c r="Y42" s="8" t="s">
        <v>155</v>
      </c>
      <c r="Z42" s="8" t="s">
        <v>156</v>
      </c>
      <c r="AA42" s="45" t="s">
        <v>279</v>
      </c>
      <c r="AB42" s="8" t="s">
        <v>155</v>
      </c>
      <c r="AC42" s="8" t="s">
        <v>155</v>
      </c>
      <c r="AD42" s="8" t="s">
        <v>155</v>
      </c>
      <c r="AE42" s="8" t="s">
        <v>156</v>
      </c>
      <c r="AF42" s="8" t="s">
        <v>155</v>
      </c>
      <c r="AG42" s="8" t="s">
        <v>155</v>
      </c>
      <c r="AH42" s="8" t="s">
        <v>155</v>
      </c>
      <c r="AI42" s="8" t="s">
        <v>155</v>
      </c>
      <c r="AJ42" s="8" t="s">
        <v>156</v>
      </c>
      <c r="AK42" s="8" t="s">
        <v>155</v>
      </c>
      <c r="AL42" s="8" t="s">
        <v>155</v>
      </c>
      <c r="AM42" s="8" t="s">
        <v>155</v>
      </c>
      <c r="AN42" s="8" t="s">
        <v>155</v>
      </c>
      <c r="AO42" s="8" t="s">
        <v>155</v>
      </c>
      <c r="AP42" s="8" t="s">
        <v>155</v>
      </c>
      <c r="AQ42" s="8" t="s">
        <v>155</v>
      </c>
      <c r="AR42" s="8" t="s">
        <v>155</v>
      </c>
      <c r="AS42" s="8" t="s">
        <v>221</v>
      </c>
      <c r="AT42" s="34">
        <f>464/(464+25)</f>
        <v>0.94887525562372188</v>
      </c>
      <c r="AU42" s="8" t="s">
        <v>284</v>
      </c>
      <c r="AV42" s="8">
        <v>6</v>
      </c>
      <c r="AW42" s="8" t="s">
        <v>155</v>
      </c>
      <c r="AX42" s="2" t="s">
        <v>19</v>
      </c>
      <c r="AY42" s="9" t="s">
        <v>138</v>
      </c>
    </row>
    <row r="43" spans="1:51" x14ac:dyDescent="0.25">
      <c r="P43" s="50"/>
      <c r="Q43" s="50"/>
      <c r="R43" s="41"/>
      <c r="S43" s="41"/>
      <c r="T43" s="41"/>
      <c r="U43" s="41"/>
      <c r="V43" s="50"/>
      <c r="W43" s="50"/>
      <c r="X43" s="41"/>
      <c r="Y43" s="41"/>
      <c r="Z43" s="41"/>
      <c r="AA43" s="50"/>
      <c r="AB43" s="41"/>
      <c r="AC43" s="41"/>
      <c r="AD43" s="41"/>
      <c r="AE43" s="41"/>
      <c r="AF43" s="41"/>
      <c r="AG43" s="41"/>
      <c r="AH43" s="41"/>
      <c r="AI43" s="41"/>
      <c r="AJ43" s="41"/>
      <c r="AK43" s="41"/>
      <c r="AL43" s="41"/>
      <c r="AM43" s="41"/>
      <c r="AN43" s="41"/>
      <c r="AO43" s="41"/>
      <c r="AP43" s="41"/>
      <c r="AQ43" s="41"/>
      <c r="AR43" s="41"/>
      <c r="AS43" s="41"/>
      <c r="AT43" s="42"/>
      <c r="AU43" s="41"/>
      <c r="AV43" s="41"/>
      <c r="AW43" s="41"/>
    </row>
  </sheetData>
  <autoFilter ref="A1:AY42" xr:uid="{7C26D03E-AE8B-4895-BAA5-C450F188CB44}"/>
  <sortState xmlns:xlrd2="http://schemas.microsoft.com/office/spreadsheetml/2017/richdata2" ref="A2:X43">
    <sortCondition ref="B1:B43"/>
  </sortState>
  <phoneticPr fontId="6" type="noConversion"/>
  <hyperlinks>
    <hyperlink ref="AY38" r:id="rId1" xr:uid="{96CC7F6C-8FAE-4607-8A6F-D2540B53E0EC}"/>
    <hyperlink ref="AY37" r:id="rId2" xr:uid="{08097B25-8775-47B9-B26C-D309A106D39A}"/>
    <hyperlink ref="AY3" r:id="rId3" xr:uid="{05E65DD7-987E-48BD-998A-EE2425C9BC01}"/>
    <hyperlink ref="AY23" r:id="rId4" display="https://github.com/mrc-ide/contact_patterns" xr:uid="{52598DCB-C6C8-4264-9097-D6819C2B14E1}"/>
    <hyperlink ref="AY39" r:id="rId5" xr:uid="{578861E6-96C4-49B7-BA5C-6FB501AC5214}"/>
    <hyperlink ref="AY24" r:id="rId6" xr:uid="{C0A33A05-4732-4438-9EC7-EA596BE38401}"/>
    <hyperlink ref="AY42" r:id="rId7" display="https://zenodo.org/records/7071876" xr:uid="{B237DF1F-D252-427F-9041-BE85B152E8A5}"/>
    <hyperlink ref="AY36" r:id="rId8" display="https://zenodo.org/records/3886638" xr:uid="{2DD27952-F978-4CA5-A2B7-22B63F51D9D6}"/>
    <hyperlink ref="AY40" r:id="rId9" xr:uid="{4FFF9D2E-34D0-4FDB-9B0B-A4FA46B118B6}"/>
    <hyperlink ref="AY21" r:id="rId10" xr:uid="{58A213DE-258C-4835-B6F2-7CF2D23179F4}"/>
    <hyperlink ref="AY41" r:id="rId11" xr:uid="{EA09CC2D-BA14-4DD7-9AF5-B84F9956378B}"/>
    <hyperlink ref="AY25" r:id="rId12" xr:uid="{2531FE6F-455C-4E23-AD0E-ACC8AD4134F6}"/>
    <hyperlink ref="AY26" r:id="rId13" xr:uid="{5F4A6E17-1E04-48DC-A4E6-BFAA49D74A17}"/>
    <hyperlink ref="AY27" r:id="rId14" xr:uid="{FD3544B7-1D2F-46BE-AFC1-26494CBB8870}"/>
    <hyperlink ref="AY28" r:id="rId15" xr:uid="{1710AE86-AF9C-4CDE-B8E3-F5DE145B30A9}"/>
    <hyperlink ref="AY33" r:id="rId16" xr:uid="{BE97C158-B479-4C87-963D-A979365D5CE0}"/>
    <hyperlink ref="AY32:AY34" r:id="rId17" display="https://data.ahri.org/index.php/catalog/1018" xr:uid="{0A1F1C44-D2C3-4A3A-B329-21E22DE3FD9C}"/>
    <hyperlink ref="AY34" r:id="rId18" display="https://github.com/NickyMcC/CasualAgeMixing" xr:uid="{FD38B3C3-66DC-4FA6-ACD9-852BDD07D3EE}"/>
    <hyperlink ref="AY35" r:id="rId19" display="https://github.com/NickyMcC/CasualAgeMixing" xr:uid="{84A9461B-CC79-404A-AC90-FFDAC5019EF0}"/>
    <hyperlink ref="AY20" r:id="rId20" display="https://zenodo.org/records/3874675" xr:uid="{121655CA-B5EB-470F-8FE4-B626A6DE07F8}"/>
    <hyperlink ref="AY29" r:id="rId21" display="https://data.mendeley.com/datasets/rdskdgxrh3/1/files/b8abe9a5-549f-4398-b7b5-a64a281374fd/S2_data.xls?dl=1_x000a_" xr:uid="{BF4715BC-0E1A-4A57-9A13-E86BFCCC6D68}"/>
    <hyperlink ref="AY19" r:id="rId22" display="https://zenodo.org/records/3874675" xr:uid="{90916F4A-7BF9-4035-9671-F9E58380815E}"/>
    <hyperlink ref="AY2" r:id="rId23" xr:uid="{2A2049A6-DDB6-4DF3-B271-1689415CBFDD}"/>
  </hyperlinks>
  <pageMargins left="0.7" right="0.7" top="0.75" bottom="0.75" header="0.3" footer="0.3"/>
  <legacyDrawing r:id="rId24"/>
  <extLst>
    <ext xmlns:x14="http://schemas.microsoft.com/office/spreadsheetml/2009/9/main" uri="{CCE6A557-97BC-4b89-ADB6-D9C93CAAB3DF}">
      <x14:dataValidations xmlns:xm="http://schemas.microsoft.com/office/excel/2006/main" count="4">
        <x14:dataValidation type="list" allowBlank="1" showInputMessage="1" showErrorMessage="1" xr:uid="{6859ADFE-A2C7-434E-BF50-13669BC25A25}">
          <x14:formula1>
            <xm:f>Sheet2!$A$2:$A$4</xm:f>
          </x14:formula1>
          <xm:sqref>J2:J42</xm:sqref>
        </x14:dataValidation>
        <x14:dataValidation type="list" allowBlank="1" showInputMessage="1" showErrorMessage="1" xr:uid="{D1690573-3EDD-4486-80D4-2A19D6323F92}">
          <x14:formula1>
            <xm:f>Sheet2!$B$2:$B$4</xm:f>
          </x14:formula1>
          <xm:sqref>P2:P42</xm:sqref>
        </x14:dataValidation>
        <x14:dataValidation type="list" allowBlank="1" showInputMessage="1" showErrorMessage="1" xr:uid="{6022C91F-AD62-4C0F-8F83-EB3901DB36CA}">
          <x14:formula1>
            <xm:f>Sheet2!$C$2:$C$3</xm:f>
          </x14:formula1>
          <xm:sqref>L2:L42</xm:sqref>
        </x14:dataValidation>
        <x14:dataValidation type="list" allowBlank="1" showInputMessage="1" showErrorMessage="1" xr:uid="{274C5FA1-FC67-48F8-AAA7-2440D8557A46}">
          <x14:formula1>
            <xm:f>Sheet2!$D$2:$D$3</xm:f>
          </x14:formula1>
          <xm:sqref>G2:H41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8A5D9-3EF8-4971-9397-D851B0440C23}">
  <dimension ref="A1:D4"/>
  <sheetViews>
    <sheetView workbookViewId="0">
      <selection activeCell="D1" sqref="D1"/>
    </sheetView>
  </sheetViews>
  <sheetFormatPr defaultRowHeight="15" x14ac:dyDescent="0.25"/>
  <cols>
    <col min="1" max="1" width="31.42578125" bestFit="1" customWidth="1"/>
    <col min="2" max="2" width="24.85546875" bestFit="1" customWidth="1"/>
    <col min="3" max="3" width="20.5703125" bestFit="1" customWidth="1"/>
    <col min="4" max="4" width="14.7109375" bestFit="1" customWidth="1"/>
  </cols>
  <sheetData>
    <row r="1" spans="1:4" x14ac:dyDescent="0.25">
      <c r="A1" s="30" t="s">
        <v>149</v>
      </c>
      <c r="B1" s="30" t="s">
        <v>144</v>
      </c>
      <c r="C1" s="30" t="s">
        <v>154</v>
      </c>
      <c r="D1" s="30" t="s">
        <v>159</v>
      </c>
    </row>
    <row r="2" spans="1:4" x14ac:dyDescent="0.25">
      <c r="A2" s="29" t="s">
        <v>16</v>
      </c>
      <c r="B2" s="29" t="s">
        <v>145</v>
      </c>
      <c r="C2" s="29" t="s">
        <v>155</v>
      </c>
      <c r="D2" s="29" t="s">
        <v>160</v>
      </c>
    </row>
    <row r="3" spans="1:4" x14ac:dyDescent="0.25">
      <c r="A3" s="29" t="s">
        <v>150</v>
      </c>
      <c r="B3" s="29" t="s">
        <v>146</v>
      </c>
      <c r="C3" s="29" t="s">
        <v>156</v>
      </c>
      <c r="D3" s="29" t="s">
        <v>161</v>
      </c>
    </row>
    <row r="4" spans="1:4" x14ac:dyDescent="0.25">
      <c r="A4" s="29" t="s">
        <v>151</v>
      </c>
      <c r="B4" s="29"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 Barnabe Kengne</dc:creator>
  <cp:lastModifiedBy>Francis Barnabe Kengne</cp:lastModifiedBy>
  <dcterms:created xsi:type="dcterms:W3CDTF">2025-10-09T12:58:56Z</dcterms:created>
  <dcterms:modified xsi:type="dcterms:W3CDTF">2026-02-14T10:04:02Z</dcterms:modified>
</cp:coreProperties>
</file>